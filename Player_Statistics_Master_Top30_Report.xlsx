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layer Winning &amp; Accolades Mast" sheetId="2" r:id="rId5"/>
    <sheet state="visible" name="Player Stats Master File" sheetId="3" r:id="rId6"/>
    <sheet state="visible" name="Calculate Player Points from Cr" sheetId="4" r:id="rId7"/>
    <sheet state="visible" name="All-Time List" sheetId="5" r:id="rId8"/>
  </sheets>
  <definedNames>
    <definedName hidden="1" localSheetId="4" name="_xlnm._FilterDatabase">'All-Time List'!$D$2:$E$34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Mft9qJEIzNn9hYzhIB7j4VZviwPTgGa90+Xw7gZayZ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======
ID#AAABo8DeEsw
Nathanael Verduzco Richardson    (2025-08-06 21:38:45)
@billnkathyn4@hotmail.com @b.richardson13b@gmail.com  Need to find a way to integrate career winning pct into player points.</t>
      </text>
    </comment>
  </commentList>
  <extLst>
    <ext uri="GoogleSheetsCustomDataVersion2">
      <go:sheetsCustomData xmlns:go="http://customooxmlschemas.google.com/" r:id="rId1" roundtripDataSignature="AMtx7mg1ebGKpWdLpflL9UCjraCi5o2RDw=="/>
    </ext>
  </extLst>
</comments>
</file>

<file path=xl/sharedStrings.xml><?xml version="1.0" encoding="utf-8"?>
<sst xmlns="http://schemas.openxmlformats.org/spreadsheetml/2006/main" count="1470" uniqueCount="131">
  <si>
    <t>Player Statistics Criteria</t>
  </si>
  <si>
    <t>The Red Colums Represent the Weighted points for each of the 5 major stats</t>
  </si>
  <si>
    <t>Multipliers for the season in which each player played are applied to the weighted statistic to generate a player profile that acconts for both the nuances accross basketball ERAs as well as the number of games each player played in a season relative to their total career games played to provide standardized statistics for a full&amp;fair career evaluation</t>
  </si>
  <si>
    <t>Columns with Calculated Statistics for Total Player Stat Points: F,H,J,L,N</t>
  </si>
  <si>
    <t>Columns with Era Multipliers: Cols AE-AI</t>
  </si>
  <si>
    <t>Column for Player Games Played as % of Career: Col D</t>
  </si>
  <si>
    <t>Player Accolades &amp; Winning Criteria</t>
  </si>
  <si>
    <t>Points for a player's accolades, championships &amp; individual accomplishments are distributed based on the rarity of the award, the appreciation for that award among players/coaches/media</t>
  </si>
  <si>
    <t xml:space="preserve">For each accolade, the points are designed to enhance the player's historical stats but not remove a player from the top of the list if they have a very impressive stat profile. Vice-versa, the points are not high enough so that they catapult a player with a lot of accomplishments to the top of the list simply bc they have won the most championships or made the most All-NBA teams. </t>
  </si>
  <si>
    <t>After an evaluation of the top point earners in each of the two sets of player criteria, this model establishes a pretty fair 70/30 relationship between points earned for career stats and points for accolades &amp; winning respectively</t>
  </si>
  <si>
    <t xml:space="preserve">Optional Player Stats to Consider Adding </t>
  </si>
  <si>
    <t>PER (Player Efficiency Rating) since we don't have to weigh/normalize accross eras/years. But since advanced shooting/stats have only been around since 1996, it will skew towards new players</t>
  </si>
  <si>
    <t xml:space="preserve">This can be used as a tie-breaker or exclusively for a list of best players from the 2000s </t>
  </si>
  <si>
    <t>Olympic Medals &amp; Slam Dunk Champion</t>
  </si>
  <si>
    <t>2pts for Slam Dunk or 3pt Contest Champion and 3pts for an Olympic Gold Medal</t>
  </si>
  <si>
    <t>Player</t>
  </si>
  <si>
    <t>1st_NBA</t>
  </si>
  <si>
    <t>2nd_NBA</t>
  </si>
  <si>
    <t>3rd_NBA</t>
  </si>
  <si>
    <t>1st_Def</t>
  </si>
  <si>
    <t>2nd_Def</t>
  </si>
  <si>
    <t>Total_All_NBA_Accolades</t>
  </si>
  <si>
    <t>NBA Championship</t>
  </si>
  <si>
    <t>NBA_Finals_MVP</t>
  </si>
  <si>
    <t>Regular_Season_MVP</t>
  </si>
  <si>
    <t>DPOY</t>
  </si>
  <si>
    <t>ROY</t>
  </si>
  <si>
    <t>6MOY</t>
  </si>
  <si>
    <t>All-Star_Games</t>
  </si>
  <si>
    <t>Scoring_Title</t>
  </si>
  <si>
    <t>Assists_Leader</t>
  </si>
  <si>
    <t>Rebounding_Leader</t>
  </si>
  <si>
    <t>Steals_Leader</t>
  </si>
  <si>
    <t>Blocks_Leader</t>
  </si>
  <si>
    <t>Seasons_Plaued</t>
  </si>
  <si>
    <t>Playoff_Seasons</t>
  </si>
  <si>
    <t>Legacy_Impact</t>
  </si>
  <si>
    <t>LeBron James</t>
  </si>
  <si>
    <t>Kareem Abdul-Jabbar</t>
  </si>
  <si>
    <t>Karl Malone</t>
  </si>
  <si>
    <t>Wilt Chamberlain</t>
  </si>
  <si>
    <t>Kobe Bryant</t>
  </si>
  <si>
    <t>Michael Jordan</t>
  </si>
  <si>
    <t>Dirk Nowitzki</t>
  </si>
  <si>
    <t>Kevin Durant</t>
  </si>
  <si>
    <t>Julius Erving</t>
  </si>
  <si>
    <t>Shaquille O'Neal</t>
  </si>
  <si>
    <t>Dominique Wilkins</t>
  </si>
  <si>
    <t>Allen Iverson</t>
  </si>
  <si>
    <t>Hakeem Olajuwon</t>
  </si>
  <si>
    <t>Oscar Robertson</t>
  </si>
  <si>
    <t>Tim Duncan</t>
  </si>
  <si>
    <t>John Havlicek</t>
  </si>
  <si>
    <t>Kevin Garnett</t>
  </si>
  <si>
    <t>Jerry West</t>
  </si>
  <si>
    <t>Stephen Curry</t>
  </si>
  <si>
    <t>Dwyane Wade</t>
  </si>
  <si>
    <t>Gary Payton</t>
  </si>
  <si>
    <t>Chris Paul</t>
  </si>
  <si>
    <t>Larry Bird</t>
  </si>
  <si>
    <t>David Robinson</t>
  </si>
  <si>
    <t>John Stockton</t>
  </si>
  <si>
    <t>Jason Kidd</t>
  </si>
  <si>
    <t>Magic Johnson</t>
  </si>
  <si>
    <t>Bob Cousy</t>
  </si>
  <si>
    <t>Bill Russell</t>
  </si>
  <si>
    <t>Isiah Thomas</t>
  </si>
  <si>
    <t>Giannis Antetokounmpo</t>
  </si>
  <si>
    <t>Moses Malone</t>
  </si>
  <si>
    <t>Nikola Jokic</t>
  </si>
  <si>
    <t>Position</t>
  </si>
  <si>
    <t>Season</t>
  </si>
  <si>
    <t>Season Stat Share of Career</t>
  </si>
  <si>
    <t>PPG</t>
  </si>
  <si>
    <t>Weighted PPG</t>
  </si>
  <si>
    <t>Assists Per Game</t>
  </si>
  <si>
    <t>Weighted Assists Per Game</t>
  </si>
  <si>
    <t>Total Rebounds Per Game</t>
  </si>
  <si>
    <t>Weighted Rebounds Per Game</t>
  </si>
  <si>
    <t>Steals Per Game</t>
  </si>
  <si>
    <t>Weighted Steals Per Game</t>
  </si>
  <si>
    <t>Blocks Per Game</t>
  </si>
  <si>
    <t>Weighted Blocks Per Game</t>
  </si>
  <si>
    <t>True Shooting PCT</t>
  </si>
  <si>
    <t>Career Points</t>
  </si>
  <si>
    <t>Career Rebounds</t>
  </si>
  <si>
    <t>Career Assists</t>
  </si>
  <si>
    <t>Career Blocks</t>
  </si>
  <si>
    <t>Career Steals</t>
  </si>
  <si>
    <t>Career PPG</t>
  </si>
  <si>
    <t>Career RPG</t>
  </si>
  <si>
    <t>Career Assists PG</t>
  </si>
  <si>
    <t>Career Blocks PG</t>
  </si>
  <si>
    <t>Career Steals PG</t>
  </si>
  <si>
    <t>League Avg Points</t>
  </si>
  <si>
    <t>League Avg Assists</t>
  </si>
  <si>
    <t>League Avg Blocks</t>
  </si>
  <si>
    <t>League Avg Rebounds</t>
  </si>
  <si>
    <t>League Avg Steal</t>
  </si>
  <si>
    <t>Era Multiplier Points</t>
  </si>
  <si>
    <t>Era Multiplier Rebounds</t>
  </si>
  <si>
    <t>Era Multiplier Steals</t>
  </si>
  <si>
    <t>Era Multiplier Blocks</t>
  </si>
  <si>
    <t>Era Multiplier Assists</t>
  </si>
  <si>
    <t>G</t>
  </si>
  <si>
    <t>Career Winning % Regular Season</t>
  </si>
  <si>
    <t>Career Winning % Post-Season</t>
  </si>
  <si>
    <t>C</t>
  </si>
  <si>
    <t>Infinity</t>
  </si>
  <si>
    <t>Grand Total</t>
  </si>
  <si>
    <t>Nikola JokiÄ‡</t>
  </si>
  <si>
    <t>F</t>
  </si>
  <si>
    <t>SELECT Player</t>
  </si>
  <si>
    <t>POS</t>
  </si>
  <si>
    <t>Points</t>
  </si>
  <si>
    <t>Assists</t>
  </si>
  <si>
    <t>Rebounds</t>
  </si>
  <si>
    <t>Steals</t>
  </si>
  <si>
    <t>Blocks</t>
  </si>
  <si>
    <t>Total Points for Stats</t>
  </si>
  <si>
    <t>Total Points for Winning/Accolades</t>
  </si>
  <si>
    <t xml:space="preserve">Points for Accolades </t>
  </si>
  <si>
    <t xml:space="preserve">Player Points </t>
  </si>
  <si>
    <t>Career Player Score</t>
  </si>
  <si>
    <t>Regular Season Winning PCT</t>
  </si>
  <si>
    <t>Bucketized Performance (0,1,2,3)</t>
  </si>
  <si>
    <t>Playoff Wining PCT</t>
  </si>
  <si>
    <t>0-50</t>
  </si>
  <si>
    <t>Top 32 All-Time LIST</t>
  </si>
  <si>
    <t>Total Points From All Criteria</t>
  </si>
  <si>
    <t>All Time 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</si>
</sst>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0"/>
    <numFmt numFmtId="166" formatCode="0.000"/>
  </numFmts>
  <fonts count="55">
    <font>
      <sz val="11.0"/>
      <color theme="1"/>
      <name val="Aptos Narrow"/>
      <scheme val="minor"/>
    </font>
    <font>
      <b/>
      <i/>
      <sz val="15.0"/>
      <color theme="1"/>
      <name val="Arial"/>
    </font>
    <font>
      <sz val="10.0"/>
      <color theme="1"/>
      <name val="Arial"/>
    </font>
    <font>
      <b/>
      <i/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b/>
      <i/>
      <color theme="1"/>
      <name val="Arial"/>
    </font>
    <font>
      <i/>
      <color theme="1"/>
      <name val="Arial"/>
    </font>
    <font>
      <b/>
      <sz val="14.0"/>
      <color rgb="FFEFEFEF"/>
      <name val="Arial"/>
    </font>
    <font>
      <b/>
      <i/>
      <sz val="9.0"/>
      <color rgb="FF000000"/>
      <name val="Arial"/>
    </font>
    <font>
      <b/>
      <sz val="9.0"/>
      <color rgb="FF000000"/>
      <name val="Arial"/>
    </font>
    <font>
      <b/>
      <i/>
      <sz val="9.0"/>
      <color rgb="FF0000FF"/>
      <name val="Arial"/>
    </font>
    <font>
      <b/>
      <sz val="8.0"/>
      <color rgb="FFFFFF00"/>
      <name val="Arial"/>
    </font>
    <font>
      <b/>
      <i/>
      <sz val="8.0"/>
      <color rgb="FF34A853"/>
      <name val="Arial"/>
    </font>
    <font>
      <b/>
      <i/>
      <sz val="8.0"/>
      <color rgb="FF000000"/>
      <name val="Arial"/>
    </font>
    <font>
      <b/>
      <sz val="8.0"/>
      <color rgb="FF000000"/>
      <name val="Arial"/>
    </font>
    <font>
      <sz val="9.0"/>
      <color theme="1"/>
      <name val="Aptos Narrow"/>
      <scheme val="minor"/>
    </font>
    <font>
      <b/>
      <sz val="9.0"/>
      <color rgb="FF000000"/>
      <name val="&quot;Aptos Narrow&quot;"/>
    </font>
    <font>
      <b/>
      <sz val="8.0"/>
      <color rgb="FF000000"/>
      <name val="&quot;Aptos Narrow&quot;"/>
    </font>
    <font>
      <b/>
      <i/>
      <sz val="9.0"/>
      <color rgb="FF34A853"/>
      <name val="Arial"/>
    </font>
    <font>
      <b/>
      <sz val="9.0"/>
      <color theme="1"/>
      <name val="Aptos Narrow"/>
      <scheme val="minor"/>
    </font>
    <font>
      <b/>
      <sz val="8.0"/>
      <color theme="1"/>
      <name val="Arial"/>
    </font>
    <font>
      <b/>
      <sz val="8.0"/>
      <color theme="1"/>
      <name val="Aptos Narrow"/>
      <scheme val="minor"/>
    </font>
    <font>
      <sz val="11.0"/>
      <color rgb="FF000000"/>
      <name val="Arial"/>
    </font>
    <font>
      <sz val="9.0"/>
      <color rgb="FF000000"/>
      <name val="Aptos Narrow"/>
      <scheme val="minor"/>
    </font>
    <font>
      <b/>
      <sz val="11.0"/>
      <color rgb="FF000000"/>
      <name val="Arial"/>
    </font>
    <font>
      <b/>
      <sz val="9.0"/>
      <color rgb="FF0000FF"/>
      <name val="&quot;Aptos Narrow&quot;"/>
    </font>
    <font>
      <b/>
      <i/>
      <sz val="9.0"/>
      <color rgb="FF980000"/>
      <name val="Arial"/>
    </font>
    <font>
      <b/>
      <sz val="9.0"/>
      <color rgb="FF980000"/>
      <name val="Arial"/>
    </font>
    <font>
      <b/>
      <i/>
      <sz val="9.0"/>
      <color rgb="FF000000"/>
      <name val="&quot;Aptos Narrow&quot;"/>
    </font>
    <font>
      <b/>
      <i/>
      <sz val="11.0"/>
      <color rgb="FF000000"/>
      <name val="&quot;Aptos Narrow&quot;"/>
    </font>
    <font>
      <b/>
      <i/>
      <sz val="9.0"/>
      <color rgb="FF0000FF"/>
      <name val="&quot;Aptos Narrow&quot;"/>
    </font>
    <font>
      <b/>
      <i/>
      <sz val="9.0"/>
      <color rgb="FF980000"/>
      <name val="&quot;Aptos Narrow&quot;"/>
    </font>
    <font>
      <b/>
      <sz val="9.0"/>
      <color rgb="FF980000"/>
      <name val="&quot;Aptos Narrow&quot;"/>
    </font>
    <font>
      <sz val="11.0"/>
      <color rgb="FF000000"/>
      <name val="&quot;Aptos Narrow&quot;"/>
    </font>
    <font>
      <sz val="9.0"/>
      <color rgb="FF000000"/>
      <name val="Arial"/>
    </font>
    <font>
      <color rgb="FF980000"/>
      <name val="Aptos Narrow"/>
      <scheme val="minor"/>
    </font>
    <font>
      <color theme="1"/>
      <name val="Aptos Narrow"/>
      <scheme val="minor"/>
    </font>
    <font>
      <b/>
      <color rgb="FF980000"/>
      <name val="Aptos Narrow"/>
      <scheme val="minor"/>
    </font>
    <font>
      <b/>
      <color rgb="FF000000"/>
      <name val="Arial"/>
    </font>
    <font>
      <b/>
      <color theme="1"/>
      <name val="Arial"/>
    </font>
    <font>
      <b/>
      <color theme="1"/>
      <name val="Aptos Narrow"/>
      <scheme val="minor"/>
    </font>
    <font>
      <b/>
      <sz val="13.0"/>
      <color rgb="FFFFFFFF"/>
      <name val="Aptos Narrow"/>
      <scheme val="minor"/>
    </font>
    <font>
      <b/>
      <sz val="15.0"/>
      <color theme="1"/>
      <name val="Aptos Narrow"/>
      <scheme val="minor"/>
    </font>
    <font>
      <b/>
      <i/>
      <sz val="13.0"/>
      <color theme="1"/>
      <name val="Arial"/>
    </font>
    <font>
      <b/>
      <i/>
      <sz val="11.0"/>
      <color rgb="FF000000"/>
      <name val="Calibri"/>
    </font>
    <font>
      <b/>
      <sz val="11.0"/>
      <color rgb="FF000000"/>
      <name val="Calibri"/>
    </font>
    <font>
      <b/>
      <i/>
      <sz val="11.0"/>
      <color rgb="FFFF0000"/>
      <name val="Calibri"/>
    </font>
    <font>
      <b/>
      <i/>
      <sz val="8.0"/>
      <color rgb="FFFF0000"/>
      <name val="Arial"/>
    </font>
    <font>
      <b/>
      <i/>
      <color rgb="FFFF0000"/>
      <name val="Aptos Narrow"/>
      <scheme val="minor"/>
    </font>
    <font>
      <b/>
      <i/>
      <sz val="14.0"/>
      <color theme="1"/>
      <name val="Arial"/>
    </font>
    <font/>
    <font>
      <b/>
      <i/>
      <sz val="11.0"/>
      <color rgb="FF000000"/>
      <name val="&quot;Aptos Black&quot;"/>
    </font>
    <font>
      <b/>
      <sz val="11.0"/>
      <color rgb="FF000000"/>
      <name val="&quot;Aptos Black&quot;"/>
    </font>
    <font>
      <b/>
      <i/>
      <sz val="14.0"/>
      <color theme="1"/>
      <name val="Aptos Narrow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3" fontId="8" numFmtId="0" xfId="0" applyAlignment="1" applyBorder="1" applyFill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2" fillId="0" fontId="11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readingOrder="0" shrinkToFit="0" vertical="bottom" wrapText="1"/>
    </xf>
    <xf borderId="4" fillId="4" fontId="12" numFmtId="0" xfId="0" applyAlignment="1" applyBorder="1" applyFill="1" applyFont="1">
      <alignment horizontal="right" readingOrder="0" shrinkToFit="0" vertical="bottom" wrapText="1"/>
    </xf>
    <xf borderId="3" fillId="0" fontId="13" numFmtId="0" xfId="0" applyAlignment="1" applyBorder="1" applyFont="1">
      <alignment horizontal="right" readingOrder="0" shrinkToFit="0" vertical="bottom" wrapText="1"/>
    </xf>
    <xf borderId="5" fillId="0" fontId="13" numFmtId="0" xfId="0" applyAlignment="1" applyBorder="1" applyFont="1">
      <alignment horizontal="right" readingOrder="0" shrinkToFit="0" vertical="bottom" wrapText="1"/>
    </xf>
    <xf borderId="1" fillId="0" fontId="13" numFmtId="0" xfId="0" applyAlignment="1" applyBorder="1" applyFont="1">
      <alignment horizontal="right" readingOrder="0" shrinkToFit="0" vertical="bottom" wrapText="1"/>
    </xf>
    <xf borderId="1" fillId="0" fontId="14" numFmtId="0" xfId="0" applyAlignment="1" applyBorder="1" applyFont="1">
      <alignment horizontal="right" readingOrder="0" shrinkToFit="0" vertical="bottom" wrapText="1"/>
    </xf>
    <xf borderId="0" fillId="0" fontId="15" numFmtId="0" xfId="0" applyAlignment="1" applyFont="1">
      <alignment horizontal="right" readingOrder="0" shrinkToFit="0" vertical="bottom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0" fillId="0" fontId="10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horizontal="right" readingOrder="0"/>
    </xf>
    <xf borderId="0" fillId="0" fontId="22" numFmtId="0" xfId="0" applyAlignment="1" applyFont="1">
      <alignment horizontal="right"/>
    </xf>
    <xf borderId="0" fillId="0" fontId="23" numFmtId="0" xfId="0" applyAlignment="1" applyFont="1">
      <alignment readingOrder="0" shrinkToFit="0" vertical="bottom" wrapText="0"/>
    </xf>
    <xf borderId="0" fillId="0" fontId="24" numFmtId="0" xfId="0" applyFont="1"/>
    <xf borderId="0" fillId="0" fontId="25" numFmtId="0" xfId="0" applyAlignment="1" applyFont="1">
      <alignment readingOrder="0" shrinkToFit="0" vertical="bottom" wrapText="1"/>
    </xf>
    <xf borderId="0" fillId="0" fontId="26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27" numFmtId="0" xfId="0" applyAlignment="1" applyFont="1">
      <alignment readingOrder="0" shrinkToFit="0" vertical="bottom" wrapText="1"/>
    </xf>
    <xf borderId="0" fillId="0" fontId="27" numFmtId="165" xfId="0" applyAlignment="1" applyFont="1" applyNumberFormat="1">
      <alignment readingOrder="0" shrinkToFit="0" vertical="bottom" wrapText="1"/>
    </xf>
    <xf borderId="0" fillId="0" fontId="11" numFmtId="166" xfId="0" applyAlignment="1" applyFont="1" applyNumberFormat="1">
      <alignment readingOrder="0" shrinkToFit="0" vertical="bottom" wrapText="1"/>
    </xf>
    <xf borderId="0" fillId="0" fontId="28" numFmtId="165" xfId="0" applyAlignment="1" applyFont="1" applyNumberFormat="1">
      <alignment readingOrder="0" shrinkToFit="0" vertical="bottom" wrapText="1"/>
    </xf>
    <xf borderId="0" fillId="0" fontId="10" numFmtId="10" xfId="0" applyAlignment="1" applyFont="1" applyNumberFormat="1">
      <alignment readingOrder="0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29" numFmtId="0" xfId="0" applyAlignment="1" applyFont="1">
      <alignment readingOrder="0" shrinkToFit="0" vertical="bottom" wrapText="1"/>
    </xf>
    <xf borderId="0" fillId="0" fontId="30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vertical="bottom" wrapText="0"/>
    </xf>
    <xf borderId="0" fillId="0" fontId="31" numFmtId="0" xfId="0" applyAlignment="1" applyFont="1">
      <alignment horizontal="right" readingOrder="0" shrinkToFit="0" vertical="bottom" wrapText="0"/>
    </xf>
    <xf borderId="0" fillId="0" fontId="32" numFmtId="164" xfId="0" applyAlignment="1" applyFont="1" applyNumberFormat="1">
      <alignment horizontal="right" readingOrder="0" shrinkToFit="0" vertical="bottom" wrapText="0"/>
    </xf>
    <xf borderId="0" fillId="0" fontId="32" numFmtId="165" xfId="0" applyAlignment="1" applyFont="1" applyNumberFormat="1">
      <alignment horizontal="right" readingOrder="0" shrinkToFit="0" vertical="bottom" wrapText="0"/>
    </xf>
    <xf borderId="0" fillId="0" fontId="31" numFmtId="166" xfId="0" applyAlignment="1" applyFont="1" applyNumberFormat="1">
      <alignment horizontal="right" readingOrder="0" shrinkToFit="0" vertical="bottom" wrapText="0"/>
    </xf>
    <xf borderId="0" fillId="0" fontId="33" numFmtId="165" xfId="0" applyAlignment="1" applyFont="1" applyNumberFormat="1">
      <alignment horizontal="right" readingOrder="0" shrinkToFit="0" vertical="bottom" wrapText="0"/>
    </xf>
    <xf borderId="0" fillId="0" fontId="17" numFmtId="10" xfId="0" applyAlignment="1" applyFont="1" applyNumberForma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right" readingOrder="0" shrinkToFit="0" vertical="bottom" wrapText="0"/>
    </xf>
    <xf borderId="0" fillId="0" fontId="35" numFmtId="0" xfId="0" applyAlignment="1" applyFont="1">
      <alignment readingOrder="0"/>
    </xf>
    <xf borderId="0" fillId="0" fontId="23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0" fontId="34" numFmtId="166" xfId="0" applyAlignment="1" applyFont="1" applyNumberFormat="1">
      <alignment horizontal="right" readingOrder="0" shrinkToFit="0" vertical="bottom" wrapText="0"/>
    </xf>
    <xf borderId="0" fillId="0" fontId="20" numFmtId="10" xfId="0" applyFont="1" applyNumberFormat="1"/>
    <xf borderId="0" fillId="0" fontId="36" numFmtId="0" xfId="0" applyFont="1"/>
    <xf borderId="0" fillId="0" fontId="36" numFmtId="165" xfId="0" applyFont="1" applyNumberFormat="1"/>
    <xf borderId="0" fillId="0" fontId="37" numFmtId="166" xfId="0" applyFont="1" applyNumberFormat="1"/>
    <xf borderId="0" fillId="0" fontId="38" numFmtId="165" xfId="0" applyFont="1" applyNumberFormat="1"/>
    <xf borderId="0" fillId="5" fontId="39" numFmtId="0" xfId="0" applyAlignment="1" applyFill="1" applyFont="1">
      <alignment horizontal="center" readingOrder="0"/>
    </xf>
    <xf borderId="0" fillId="0" fontId="40" numFmtId="0" xfId="0" applyAlignment="1" applyFont="1">
      <alignment horizontal="center" readingOrder="0"/>
    </xf>
    <xf borderId="6" fillId="6" fontId="40" numFmtId="0" xfId="0" applyAlignment="1" applyBorder="1" applyFill="1" applyFont="1">
      <alignment horizontal="center" readingOrder="0"/>
    </xf>
    <xf borderId="7" fillId="0" fontId="40" numFmtId="0" xfId="0" applyAlignment="1" applyBorder="1" applyFont="1">
      <alignment horizontal="center" readingOrder="0"/>
    </xf>
    <xf borderId="8" fillId="7" fontId="40" numFmtId="0" xfId="0" applyAlignment="1" applyBorder="1" applyFill="1" applyFont="1">
      <alignment horizontal="center" readingOrder="0"/>
    </xf>
    <xf borderId="9" fillId="6" fontId="41" numFmtId="0" xfId="0" applyAlignment="1" applyBorder="1" applyFont="1">
      <alignment horizontal="center"/>
    </xf>
    <xf borderId="10" fillId="3" fontId="42" numFmtId="166" xfId="0" applyAlignment="1" applyBorder="1" applyFont="1" applyNumberFormat="1">
      <alignment horizontal="center"/>
    </xf>
    <xf borderId="11" fillId="7" fontId="43" numFmtId="166" xfId="0" applyAlignment="1" applyBorder="1" applyFont="1" applyNumberFormat="1">
      <alignment horizontal="center"/>
    </xf>
    <xf borderId="8" fillId="8" fontId="40" numFmtId="0" xfId="0" applyAlignment="1" applyBorder="1" applyFill="1" applyFont="1">
      <alignment horizontal="center" readingOrder="0" shrinkToFit="0" wrapText="1"/>
    </xf>
    <xf borderId="11" fillId="8" fontId="43" numFmtId="0" xfId="0" applyAlignment="1" applyBorder="1" applyFont="1">
      <alignment horizontal="center"/>
    </xf>
    <xf borderId="0" fillId="0" fontId="44" numFmtId="0" xfId="0" applyAlignment="1" applyFont="1">
      <alignment horizontal="center" readingOrder="0"/>
    </xf>
    <xf borderId="8" fillId="9" fontId="40" numFmtId="0" xfId="0" applyAlignment="1" applyBorder="1" applyFill="1" applyFont="1">
      <alignment horizontal="center" readingOrder="0"/>
    </xf>
    <xf borderId="0" fillId="10" fontId="45" numFmtId="0" xfId="0" applyAlignment="1" applyFill="1" applyFont="1">
      <alignment horizontal="left" readingOrder="0" shrinkToFit="0" vertical="bottom" wrapText="1"/>
    </xf>
    <xf borderId="0" fillId="0" fontId="41" numFmtId="0" xfId="0" applyAlignment="1" applyFont="1">
      <alignment horizontal="center"/>
    </xf>
    <xf borderId="0" fillId="0" fontId="37" numFmtId="0" xfId="0" applyAlignment="1" applyFont="1">
      <alignment horizontal="center"/>
    </xf>
    <xf borderId="11" fillId="9" fontId="43" numFmtId="166" xfId="0" applyAlignment="1" applyBorder="1" applyFont="1" applyNumberFormat="1">
      <alignment horizontal="center"/>
    </xf>
    <xf borderId="0" fillId="10" fontId="46" numFmtId="0" xfId="0" applyAlignment="1" applyFont="1">
      <alignment horizontal="left" readingOrder="0" shrinkToFit="0" vertical="bottom" wrapText="1"/>
    </xf>
    <xf borderId="0" fillId="10" fontId="47" numFmtId="0" xfId="0" applyAlignment="1" applyFont="1">
      <alignment horizontal="left" readingOrder="0" shrinkToFit="0" vertical="bottom" wrapText="1"/>
    </xf>
    <xf borderId="0" fillId="0" fontId="48" numFmtId="0" xfId="0" applyAlignment="1" applyFont="1">
      <alignment horizontal="left" readingOrder="0"/>
    </xf>
    <xf borderId="0" fillId="0" fontId="49" numFmtId="0" xfId="0" applyAlignment="1" applyFont="1">
      <alignment horizontal="center"/>
    </xf>
    <xf borderId="0" fillId="0" fontId="41" numFmtId="0" xfId="0" applyFont="1"/>
    <xf borderId="12" fillId="9" fontId="50" numFmtId="0" xfId="0" applyAlignment="1" applyBorder="1" applyFont="1">
      <alignment horizontal="center" readingOrder="0"/>
    </xf>
    <xf borderId="2" fillId="0" fontId="51" numFmtId="0" xfId="0" applyBorder="1" applyFont="1"/>
    <xf borderId="0" fillId="0" fontId="6" numFmtId="0" xfId="0" applyAlignment="1" applyFont="1">
      <alignment readingOrder="0" shrinkToFit="0" wrapText="1"/>
    </xf>
    <xf borderId="0" fillId="0" fontId="50" numFmtId="0" xfId="0" applyAlignment="1" applyFont="1">
      <alignment horizontal="center" readingOrder="0"/>
    </xf>
    <xf borderId="0" fillId="10" fontId="52" numFmtId="0" xfId="0" applyAlignment="1" applyFont="1">
      <alignment horizontal="center" readingOrder="0" vertical="bottom"/>
    </xf>
    <xf borderId="0" fillId="11" fontId="53" numFmtId="0" xfId="0" applyAlignment="1" applyFill="1" applyFont="1">
      <alignment horizontal="center" readingOrder="0" vertical="bottom"/>
    </xf>
    <xf borderId="0" fillId="0" fontId="40" numFmtId="0" xfId="0" applyAlignment="1" applyFont="1">
      <alignment readingOrder="0"/>
    </xf>
    <xf borderId="0" fillId="10" fontId="53" numFmtId="0" xfId="0" applyAlignment="1" applyFont="1">
      <alignment horizontal="center" readingOrder="0" vertical="bottom"/>
    </xf>
    <xf borderId="0" fillId="0" fontId="54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'All-Time List'!$E$2</c:f>
            </c:strRef>
          </c:tx>
          <c:spPr>
            <a:solidFill>
              <a:srgbClr val="156082">
                <a:alpha val="30000"/>
              </a:srgbClr>
            </a:solidFill>
            <a:ln cmpd="sng">
              <a:solidFill>
                <a:srgbClr val="156082"/>
              </a:solidFill>
            </a:ln>
          </c:spPr>
          <c:cat>
            <c:strRef>
              <c:f>'All-Time List'!$D$3:$D$34</c:f>
            </c:strRef>
          </c:cat>
          <c:val>
            <c:numRef>
              <c:f>'All-Time List'!$E$3:$E$34</c:f>
              <c:numCache/>
            </c:numRef>
          </c:val>
        </c:ser>
        <c:axId val="1257683777"/>
        <c:axId val="2057131024"/>
      </c:areaChart>
      <c:catAx>
        <c:axId val="1257683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131024"/>
      </c:catAx>
      <c:valAx>
        <c:axId val="2057131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683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285750</xdr:colOff>
      <xdr:row>0</xdr:row>
      <xdr:rowOff>209550</xdr:rowOff>
    </xdr:from>
    <xdr:ext cx="5715000" cy="3533775"/>
    <xdr:pic>
      <xdr:nvPicPr>
        <xdr:cNvPr id="9931443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17</xdr:row>
      <xdr:rowOff>95250</xdr:rowOff>
    </xdr:from>
    <xdr:ext cx="6962775" cy="3533775"/>
    <xdr:graphicFrame>
      <xdr:nvGraphicFramePr>
        <xdr:cNvPr id="156121084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AI485" sheet="Player Stats Master File"/>
  </cacheSource>
  <cacheFields>
    <cacheField name="Allen Iverson" numFmtId="0">
      <sharedItems>
        <s v="Allen Iverson"/>
        <s v="Bill Russell"/>
        <s v="Bob Cousy"/>
        <s v="Chris Paul"/>
        <s v="David Robinson"/>
        <s v="Dirk Nowitzki"/>
        <s v="Dominique Wilkins"/>
        <s v="Dwyane Wade"/>
        <s v="Gary Payton"/>
        <s v="Hakeem Olajuwon"/>
        <s v="Isiah Thomas"/>
        <s v="Jason Kidd"/>
        <s v="Jerry West"/>
        <s v="John Havlicek"/>
        <s v="John Stockton"/>
        <s v="Julius Erving"/>
        <s v="Kareem Abdul-Jabbar"/>
        <s v="Karl Malone"/>
        <s v="Kevin Garnett"/>
        <s v="Kobe Bryant"/>
        <s v="Larry Bird"/>
        <s v="LeBron James"/>
        <s v="Magic Johnson"/>
        <s v="Michael Jordan"/>
        <s v="Oscar Robertson"/>
        <s v="Shaquille O'Neal"/>
        <s v="Stephen Curry"/>
        <s v="Tim Duncan"/>
        <s v="Wilt Chamberlain"/>
      </sharedItems>
    </cacheField>
    <cacheField name="G" numFmtId="0">
      <sharedItems>
        <s v="G"/>
        <s v="C"/>
        <s v="F"/>
      </sharedItems>
    </cacheField>
    <cacheField name="1997" numFmtId="0">
      <sharedItems containsSemiMixedTypes="0" containsString="0" containsNumber="1" containsInteger="1"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51.0"/>
        <n v="1952.0"/>
        <n v="1953.0"/>
        <n v="1954.0"/>
        <n v="1955.0"/>
        <n v="1956.0"/>
        <n v="197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1990.0"/>
        <n v="1991.0"/>
        <n v="1992.0"/>
        <n v="1993.0"/>
        <n v="1994.0"/>
        <n v="1995.0"/>
        <n v="1996.0"/>
        <n v="1997.0"/>
        <n v="1983.0"/>
        <n v="1984.0"/>
        <n v="1985.0"/>
        <n v="1986.0"/>
        <n v="1987.0"/>
        <n v="1988.0"/>
        <n v="1989.0"/>
        <n v="1982.0"/>
        <n v="1971.0"/>
        <n v="1972.0"/>
        <n v="1973.0"/>
        <n v="1974.0"/>
        <n v="1975.0"/>
        <n v="1976.0"/>
        <n v="1977.0"/>
        <n v="1978.0"/>
        <n v="1979.0"/>
        <n v="1980.0"/>
        <n v="1981.0"/>
      </sharedItems>
    </cacheField>
    <cacheField name="0.07143" numFmtId="0">
      <sharedItems containsSemiMixedTypes="0" containsString="0" containsNumber="1">
        <n v="0.07519"/>
        <n v="0.04511"/>
        <n v="0.06579"/>
        <n v="0.06673"/>
        <n v="0.05639"/>
        <n v="0.07707"/>
        <n v="0.07049"/>
        <n v="0.06767"/>
        <n v="0.12218"/>
        <n v="0.10714"/>
        <n v="0.05263"/>
        <n v="0.04984"/>
        <n v="0.07165"/>
        <n v="0.07269"/>
        <n v="0.07684"/>
        <n v="0.081"/>
        <n v="0.07892"/>
        <n v="0.08411"/>
        <n v="0.07996"/>
        <n v="0.07468"/>
        <n v="0.07143"/>
        <n v="0.07792"/>
        <n v="0.06926"/>
        <n v="0.07035"/>
        <n v="0.08117"/>
        <n v="0.08225"/>
        <n v="0.00758"/>
        <n v="0.05923"/>
        <n v="0.0486"/>
        <n v="0.06074"/>
        <n v="0.03417"/>
        <n v="0.04556"/>
        <n v="0.05315"/>
        <n v="0.04708"/>
        <n v="0.06226"/>
        <n v="0.05619"/>
        <n v="0.04632"/>
        <n v="0.04404"/>
        <n v="0.04935"/>
        <n v="0.0448"/>
        <n v="0.08308"/>
        <n v="0.0689"/>
        <n v="0.08105"/>
        <n v="0.08207"/>
        <n v="0.00608"/>
        <n v="0.07396"/>
        <n v="0.04965"/>
        <n v="0.07903"/>
        <n v="0.06484"/>
        <n v="0.03088"/>
        <n v="0.05388"/>
        <n v="0.04993"/>
        <n v="0.05256"/>
        <n v="0.05059"/>
        <n v="0.05125"/>
        <n v="0.05322"/>
        <n v="0.04796"/>
        <n v="0.04074"/>
        <n v="0.03482"/>
        <n v="0.04928"/>
        <n v="0.03548"/>
        <n v="0.03351"/>
        <n v="0.07056"/>
        <n v="0.06794"/>
        <n v="0.06882"/>
        <n v="0.06969"/>
        <n v="0.03659"/>
        <n v="0.06185"/>
        <n v="0.12892"/>
        <n v="0.06707"/>
        <n v="0.05488"/>
        <n v="0.02352"/>
        <n v="0.05442"/>
        <n v="0.06869"/>
        <n v="0.0669"/>
        <n v="0.0455"/>
        <n v="0.07047"/>
        <n v="0.0678"/>
        <n v="0.04371"/>
        <n v="0.06155"/>
        <n v="0.04817"/>
        <n v="0.05531"/>
        <n v="0.06601"/>
        <n v="0.05352"/>
        <n v="0.11954"/>
        <n v="0.06423"/>
        <n v="0.05795"/>
        <n v="0.05724"/>
        <n v="0.03534"/>
        <n v="0.05583"/>
        <n v="0.11307"/>
        <n v="0.04806"/>
        <n v="0.06624"/>
        <n v="0.05493"/>
        <n v="0.06058"/>
        <n v="0.06381"/>
        <n v="0.04523"/>
        <n v="0.05654"/>
        <n v="0.06462"/>
        <n v="0.05816"/>
        <n v="0.063"/>
        <n v="0.03796"/>
        <n v="0.04039"/>
        <n v="0.03554"/>
        <n v="0.04685"/>
        <n v="0.04927"/>
        <n v="0.07354"/>
        <n v="0.08274"/>
        <n v="0.08376"/>
        <n v="0.07865"/>
        <n v="0.08172"/>
        <n v="0.04903"/>
        <n v="0.07967"/>
        <n v="0.08069"/>
        <n v="0.05924"/>
        <n v="0.05177"/>
        <n v="0.05308"/>
        <n v="0.07208"/>
        <n v="0.05374"/>
        <n v="0.03277"/>
        <n v="0.04391"/>
        <n v="0.05046"/>
        <n v="0.05242"/>
        <n v="0.04325"/>
        <n v="0.10485"/>
        <n v="0.03145"/>
        <n v="0.0498"/>
        <n v="0.08476"/>
        <n v="0.08047"/>
        <n v="0.05901"/>
        <n v="0.07725"/>
        <n v="0.0794"/>
        <n v="0.07082"/>
        <n v="0.05472"/>
        <n v="0.06545"/>
        <n v="0.07403"/>
        <n v="0.08262"/>
        <n v="0.03326"/>
        <n v="0.06299"/>
        <n v="0.05906"/>
        <n v="0.05591"/>
        <n v="0.06378"/>
        <n v="0.06457"/>
        <n v="0.05984"/>
        <n v="0.0622"/>
        <n v="0.05452"/>
        <n v="0.05186"/>
        <n v="0.04255"/>
        <n v="0.03324"/>
        <n v="0.06758"/>
        <n v="0.05712"/>
        <n v="0.06597"/>
        <n v="0.05953"/>
        <n v="0.06275"/>
        <n v="0.06516"/>
        <n v="0.05792"/>
        <n v="0.06195"/>
        <n v="0.04827"/>
        <n v="0.05192"/>
        <n v="0.04872"/>
        <n v="0.04167"/>
        <n v="0.03974"/>
        <n v="0.05128"/>
        <n v="0.05064"/>
        <n v="0.05"/>
        <n v="0.04744"/>
        <n v="0.05556"/>
        <n v="0.0542"/>
        <n v="0.0332"/>
        <n v="0.02846"/>
        <n v="0.05302"/>
        <n v="0.05103"/>
        <n v="0.05434"/>
        <n v="0.03115"/>
        <n v="0.05368"/>
        <n v="0.05036"/>
        <n v="0.04705"/>
        <n v="0.03777"/>
        <n v="0.04573"/>
        <n v="0.03976"/>
        <n v="0.04506"/>
        <n v="0.03579"/>
        <n v="0.06229"/>
        <n v="0.02518"/>
        <n v="0.05275"/>
        <n v="0.05869"/>
        <n v="0.03715"/>
        <n v="0.05052"/>
        <n v="0.05944"/>
        <n v="0.06092"/>
        <n v="0.04829"/>
        <n v="0.05721"/>
        <n v="0.05423"/>
        <n v="0.04309"/>
        <n v="0.00446"/>
        <n v="0.026"/>
        <n v="0.09142"/>
        <n v="0.08584"/>
        <n v="0.08807"/>
        <n v="0.08919"/>
        <n v="0.0825"/>
        <n v="0.08473"/>
        <n v="0.00669"/>
        <n v="0.08361"/>
        <n v="0.06689"/>
        <n v="0.05017"/>
        <n v="0.05147"/>
        <n v="0.05212"/>
        <n v="0.05081"/>
        <n v="0.04886"/>
        <n v="0.05277"/>
        <n v="0.04951"/>
        <n v="0.05016"/>
        <n v="0.04495"/>
        <n v="0.04821"/>
        <n v="0.05342"/>
        <n v="0.03583"/>
        <n v="0.04365"/>
        <n v="0.02932"/>
        <n v="0.03648"/>
        <n v="0.04625"/>
        <n v="0.02801"/>
        <n v="0.08499"/>
        <n v="0.04084"/>
        <n v="0.08609"/>
        <n v="0.0872"/>
        <n v="0.07395"/>
        <n v="0.07947"/>
        <n v="0.0883"/>
        <n v="0.03532"/>
        <n v="0.07649"/>
        <n v="0.01679"/>
        <n v="0.07556"/>
        <n v="0.07463"/>
        <n v="0.07276"/>
        <n v="0.01586"/>
        <n v="0.05597"/>
        <n v="0.06827"/>
        <n v="0.07596"/>
        <n v="0.07692"/>
        <n v="0.07212"/>
        <n v="0.07308"/>
        <n v="0.0625"/>
        <n v="0.06635"/>
        <n v="0.07788"/>
        <n v="0.06154"/>
        <n v="0.07019"/>
        <n v="0.06731"/>
        <n v="0.06388"/>
        <n v="0.0623"/>
        <n v="0.04259"/>
        <n v="0.04022"/>
        <n v="0.04732"/>
        <n v="0.03864"/>
        <n v="0.05836"/>
        <n v="0.05284"/>
        <n v="0.05757"/>
        <n v="0.04653"/>
        <n v="0.03155"/>
        <n v="0.09621"/>
        <n v="0.05915"/>
        <n v="0.0418"/>
        <n v="0.02918"/>
        <n v="0.0804"/>
        <n v="0.07437"/>
        <n v="0.02613"/>
        <n v="0.07839"/>
        <n v="0.05126"/>
        <n v="0.06935"/>
        <n v="0.00503"/>
        <n v="0.06332"/>
        <n v="0.06432"/>
        <n v="0.05628"/>
        <n v="0.0392"/>
        <n v="0.05891"/>
        <n v="0.03592"/>
        <n v="0.05316"/>
        <n v="0.05819"/>
        <n v="0.04957"/>
        <n v="0.04741"/>
        <n v="0.05747"/>
        <n v="0.05603"/>
        <n v="0.0546"/>
        <n v="0.05532"/>
        <n v="0.04382"/>
        <n v="0.0644"/>
        <n v="0.07066"/>
        <n v="0.07156"/>
        <n v="0.13059"/>
        <n v="0.07245"/>
        <n v="0.07335"/>
        <n v="0.01073"/>
      </sharedItems>
    </cacheField>
    <cacheField name="23.5" numFmtId="0">
      <sharedItems containsSemiMixedTypes="0" containsString="0" containsNumber="1">
        <n v="22.0"/>
        <n v="26.8"/>
        <n v="28.4"/>
        <n v="31.1"/>
        <n v="31.4"/>
        <n v="27.6"/>
        <n v="26.4"/>
        <n v="30.7"/>
        <n v="33.0"/>
        <n v="27.433"/>
        <n v="17.867"/>
        <n v="13.333"/>
        <n v="14.7"/>
        <n v="16.6"/>
        <n v="16.7"/>
        <n v="18.2"/>
        <n v="16.9"/>
        <n v="18.9"/>
        <n v="16.8"/>
        <n v="15.0"/>
        <n v="14.1"/>
        <n v="12.9"/>
        <n v="13.3"/>
        <n v="12.5"/>
        <n v="9.9"/>
        <n v="15.6"/>
        <n v="21.7"/>
        <n v="19.8"/>
        <n v="19.2"/>
        <n v="21.2"/>
        <n v="18.8"/>
        <n v="20.6"/>
        <n v="18.0"/>
        <n v="20.0"/>
        <n v="19.4"/>
        <n v="18.1"/>
        <n v="15.7"/>
        <n v="13.2"/>
        <n v="0.7"/>
        <n v="16.1"/>
        <n v="17.3"/>
        <n v="21.1"/>
        <n v="22.8"/>
        <n v="18.7"/>
        <n v="15.9"/>
        <n v="19.1"/>
        <n v="19.5"/>
        <n v="18.6"/>
        <n v="17.6"/>
        <n v="16.4"/>
        <n v="13.9"/>
        <n v="9.2"/>
        <n v="9.5"/>
        <n v="24.3"/>
        <n v="25.6"/>
        <n v="23.2"/>
        <n v="23.4"/>
        <n v="29.8"/>
        <n v="25.0"/>
        <n v="17.7"/>
        <n v="21.6"/>
        <n v="15.8"/>
        <n v="17.8"/>
        <n v="14.4"/>
        <n v="12.2"/>
        <n v="8.5"/>
        <n v="8.2"/>
        <n v="17.5"/>
        <n v="21.8"/>
        <n v="25.1"/>
        <n v="26.1"/>
        <n v="26.6"/>
        <n v="24.6"/>
        <n v="23.6"/>
        <n v="25.9"/>
        <n v="23.0"/>
        <n v="18.3"/>
        <n v="14.2"/>
        <n v="12.0"/>
        <n v="7.3"/>
        <n v="27.4"/>
        <n v="30.3"/>
        <n v="29.0"/>
        <n v="26.2"/>
        <n v="26.7"/>
        <n v="28.1"/>
        <n v="29.9"/>
        <n v="26.5"/>
        <n v="5.0"/>
        <n v="16.2"/>
        <n v="24.1"/>
        <n v="27.2"/>
        <n v="30.2"/>
        <n v="25.5"/>
        <n v="22.1"/>
        <n v="19.0"/>
        <n v="21.5"/>
        <n v="11.533"/>
        <n v="7.2"/>
        <n v="9.4"/>
        <n v="13.5"/>
        <n v="16.5"/>
        <n v="19.3"/>
        <n v="24.2"/>
        <n v="23.1"/>
        <n v="20.267"/>
        <n v="14.6"/>
        <n v="11.3"/>
        <n v="7.7"/>
        <n v="5.3"/>
        <n v="23.5"/>
        <n v="24.8"/>
        <n v="27.3"/>
        <n v="27.8"/>
        <n v="26.9"/>
        <n v="10.3"/>
        <n v="11.9"/>
        <n v="7.1"/>
        <n v="17.0"/>
        <n v="22.9"/>
        <n v="21.3"/>
        <n v="20.9"/>
        <n v="18.4"/>
        <n v="18.5"/>
        <n v="14.8"/>
        <n v="11.7"/>
        <n v="10.8"/>
        <n v="11.6"/>
        <n v="14.3"/>
        <n v="15.5"/>
        <n v="13.0"/>
        <n v="10.667"/>
        <n v="9.0"/>
        <n v="7.9"/>
        <n v="6.2"/>
        <n v="6.0"/>
        <n v="30.8"/>
        <n v="27.1"/>
        <n v="28.7"/>
        <n v="31.0"/>
        <n v="31.3"/>
        <n v="26.3"/>
        <n v="31.2"/>
        <n v="25.8"/>
        <n v="20.3"/>
        <n v="19.9"/>
        <n v="21.4"/>
        <n v="20.7"/>
        <n v="28.9"/>
        <n v="27.5"/>
        <n v="23.8"/>
        <n v="22.6"/>
        <n v="5.6"/>
        <n v="17.1"/>
        <n v="17.2"/>
        <n v="15.1"/>
        <n v="11.1"/>
        <n v="12.1"/>
        <n v="11.5"/>
        <n v="13.4"/>
        <n v="31.9"/>
        <n v="27.9"/>
        <n v="29.3"/>
        <n v="24.4"/>
        <n v="22.4"/>
        <n v="28.8"/>
        <n v="31.7"/>
        <n v="34.8"/>
        <n v="27.0"/>
        <n v="30.0"/>
        <n v="27.7"/>
        <n v="23.9"/>
        <n v="10.1"/>
        <n v="14.9"/>
        <n v="29.1"/>
        <n v="28.0"/>
        <n v="25.2"/>
        <n v="25.7"/>
        <n v="10.4"/>
        <n v="20.8"/>
        <n v="22.2"/>
        <n v="6.5"/>
        <n v="3.2"/>
        <n v="7.6"/>
        <n v="15.4"/>
        <n v="22.5"/>
        <n v="28.5"/>
        <n v="24.0"/>
        <n v="35.4"/>
        <n v="31.6"/>
        <n v="28.3"/>
        <n v="25.3"/>
        <n v="13.8"/>
        <n v="22.3"/>
        <n v="20.2"/>
        <n v="29.7"/>
        <n v="19.6"/>
        <n v="28.2"/>
        <n v="22.7"/>
        <n v="37.1"/>
        <n v="35.0"/>
        <n v="32.5"/>
        <n v="33.6"/>
        <n v="31.5"/>
        <n v="30.1"/>
        <n v="32.6"/>
        <n v="30.4"/>
        <n v="29.6"/>
        <n v="30.5"/>
        <n v="29.2"/>
        <n v="24.7"/>
        <n v="17.4"/>
        <n v="12.7"/>
        <n v="13.567"/>
        <n v="32.0"/>
        <n v="29.4"/>
        <n v="23.3"/>
        <n v="17.9"/>
        <n v="8.6"/>
        <n v="37.6"/>
        <n v="38.4"/>
        <n v="50.4"/>
        <n v="44.8"/>
        <n v="36.9"/>
        <n v="34.567"/>
        <n v="33.5"/>
        <n v="20.5"/>
      </sharedItems>
    </cacheField>
    <cacheField name="2.0580" numFmtId="164">
      <sharedItems containsSemiMixedTypes="0" containsString="0" containsNumber="1">
        <n v="2.055649486"/>
        <n v="1.5678846612"/>
        <n v="2.276689266"/>
        <n v="2.6007697196"/>
        <n v="2.202683624"/>
        <n v="2.6572132944000004"/>
        <n v="1.5147107976"/>
        <n v="2.6448933545999997"/>
        <n v="2.7348898169999996"/>
        <n v="4.034183078184"/>
        <n v="2.4196034016"/>
        <n v="2.27415321144"/>
        <n v="0.8303402943070001"/>
        <n v="0.8739025344"/>
        <n v="1.3254562160000003"/>
        <n v="1.3328874540000002"/>
        <n v="1.4410020352"/>
        <n v="1.37697651"/>
        <n v="1.491588"/>
        <n v="1.40216832"/>
        <n v="1.3004145"/>
        <n v="1.2267296100000002"/>
        <n v="1.0747841400000002"/>
        <n v="1.1319750897000003"/>
        <n v="1.0316362499999998"/>
        <n v="0.8374378716000002"/>
        <n v="1.6456903008"/>
        <n v="2.2001140014"/>
        <n v="2.1855370680000004"/>
        <n v="2.2355684352"/>
        <n v="2.078614208"/>
        <n v="1.7578752000000002"/>
        <n v="1.7018345568000002"/>
        <n v="1.4111647200000002"/>
        <n v="1.5448860000000002"/>
        <n v="1.6225688191999998"/>
        <n v="1.4975084775"/>
        <n v="1.274369"/>
        <n v="1.11870528"/>
        <n v="0.005401508"/>
        <n v="1.1678775941"/>
        <n v="1.011962808"/>
        <n v="1.5240953688"/>
        <n v="1.6043274719999998"/>
        <n v="0.7561038507"/>
        <n v="1.1519656848000002"/>
        <n v="1.1128157568"/>
        <n v="1.0877625850000001"/>
        <n v="1.0576719736"/>
        <n v="1.4127292080000002"/>
        <n v="1.267511544"/>
        <n v="0.943191"/>
        <n v="0.9154753344000001"/>
        <n v="0.7339477392000001"/>
        <n v="0.9939985440000002"/>
        <n v="0.923785268"/>
        <n v="0.7792004745"/>
        <n v="0.6449511040000001"/>
        <n v="0.4214962704"/>
        <n v="0.3388655985"/>
        <n v="2.2415224932"/>
        <n v="2.3769653248"/>
        <n v="1.8034051360000003"/>
        <n v="2.1933020304"/>
        <n v="2.8268554160000003"/>
        <n v="2.6538286512000004"/>
        <n v="2.4799379999999998"/>
        <n v="0.131937216"/>
        <n v="1.9852579872"/>
        <n v="1.0173791429999999"/>
        <n v="1.757917765"/>
        <n v="1.462634784"/>
        <n v="1.199422504"/>
        <n v="0.688484088"/>
        <n v="0.3283958304"/>
        <n v="1.14892365"/>
        <n v="1.4719886688000001"/>
        <n v="1.453442328"/>
        <n v="1.6480145952000003"/>
        <n v="1.4027301778"/>
        <n v="1.634845275"/>
        <n v="1.7337490044000001"/>
        <n v="1.5174387"/>
        <n v="1.4198144208000003"/>
        <n v="1.637536824"/>
        <n v="1.57438065"/>
        <n v="1.3157538240000002"/>
        <n v="1.0855482624"/>
        <n v="0.729489446"/>
        <n v="1.3415172624"/>
        <n v="1.039745916"/>
        <n v="1.0432300032"/>
        <n v="0.5667929999999999"/>
        <n v="0.678472608"/>
        <n v="0.26133075089999996"/>
        <n v="1.3686523725"/>
        <n v="1.644499584"/>
        <n v="2.0729314368"/>
        <n v="2.219151396"/>
        <n v="2.15743818"/>
        <n v="2.290162284"/>
        <n v="1.9863726762000002"/>
        <n v="2.0659607469"/>
        <n v="2.0424184703999995"/>
        <n v="1.1599915478"/>
        <n v="2.0863971830000003"/>
        <n v="3.9985311520000004"/>
        <n v="1.3987099736000002"/>
        <n v="1.224548416"/>
        <n v="0.15251543999999997"/>
        <n v="1.1213121276"/>
        <n v="2.0232653238"/>
        <n v="2.2285620959999997"/>
        <n v="1.5005281199999998"/>
        <n v="1.33107156"/>
        <n v="2.5282944720000002"/>
        <n v="2.1620713282"/>
        <n v="2.06223192"/>
        <n v="1.1916464976"/>
        <n v="1.58018546"/>
        <n v="1.076493526"/>
        <n v="1.4127280199999999"/>
        <n v="1.450846992"/>
        <n v="1.101843"/>
        <n v="1.5407846268319998"/>
        <n v="1.029253635"/>
        <n v="0.46630742399999997"/>
        <n v="0.6070347792"/>
        <n v="0.8826190650000001"/>
        <n v="1.11910722"/>
        <n v="1.3986209320000003"/>
        <n v="1.319050008"/>
        <n v="1.54881806"/>
        <n v="1.382677728"/>
        <n v="0.9945640782"/>
        <n v="1.708812215"/>
        <n v="1.6162182036000001"/>
        <n v="1.5931845800000002"/>
        <n v="2.862653840748"/>
        <n v="1.076116433"/>
        <n v="0.7515870012000001"/>
        <n v="0.5397840756"/>
        <n v="0.3065785848"/>
        <n v="1.4630640768"/>
        <n v="1.3915416900000002"/>
        <n v="1.532395332"/>
        <n v="1.5974450640000004"/>
        <n v="1.7871499008000002"/>
        <n v="1.7871744096"/>
        <n v="1.0716398176"/>
        <n v="1.3778300448000003"/>
        <n v="1.9505043648"/>
        <n v="2.0647330704"/>
        <n v="1.8942991168"/>
        <n v="1.868017776"/>
        <n v="1.7919216"/>
        <n v="0.7736354287999999"/>
        <n v="0.9900158499"/>
        <n v="0.446046547"/>
        <n v="0.6986777980000002"/>
        <n v="0.435172348"/>
        <n v="1.367571902"/>
        <n v="2.0745573954"/>
        <n v="1.925030952"/>
        <n v="1.8807331536"/>
        <n v="1.77200023"/>
        <n v="1.842503964"/>
        <n v="1.77154614"/>
        <n v="1.6180380216"/>
        <n v="1.6903384847999998"/>
        <n v="0.8876940335999999"/>
        <n v="1.6628483390000004"/>
        <n v="1.6022064608000002"/>
        <n v="1.0261505408000002"/>
        <n v="0.7096486644"/>
        <n v="1.0520668320000002"/>
        <n v="0.9543968640000001"/>
        <n v="0.7746792968"/>
        <n v="0.7182400796999999"/>
        <n v="0.7651119904999999"/>
        <n v="1.0686963768"/>
        <n v="0.9827326319999999"/>
        <n v="1.2245332968"/>
        <n v="0.8656614995"/>
        <n v="0.76118616"/>
        <n v="0.8538436942000001"/>
        <n v="0.820205256"/>
        <n v="1.33004284254"/>
        <n v="0.56753136"/>
        <n v="0.6388944358"/>
        <n v="0.49395995040000007"/>
        <n v="0.24053966400000001"/>
        <n v="0.36184679999999997"/>
        <n v="1.5005774784000003"/>
        <n v="2.478476"/>
        <n v="1.6477857984000002"/>
        <n v="2.3729353724999998"/>
        <n v="2.64378974"/>
        <n v="2.7288634568"/>
        <n v="2.0567211545999995"/>
        <n v="1.4663356704"/>
        <n v="1.7933044744999997"/>
        <n v="2.52187104"/>
        <n v="2.1047180583"/>
        <n v="2.297860488"/>
        <n v="1.8635927244000001"/>
        <n v="0.7588325541999998"/>
        <n v="0.9281400128000001"/>
        <n v="1.3416221203"/>
        <n v="1.1608851318000002"/>
        <n v="1.0811696888000002"/>
        <n v="1.3811342148"/>
        <n v="1.3618607211"/>
        <n v="1.4754658248000003"/>
        <n v="1.5712585680000002"/>
        <n v="1.9481224698"/>
        <n v="1.9141776500000003"/>
        <n v="1.6552247642000002"/>
        <n v="1.5199443776"/>
        <n v="1.4354995776"/>
        <n v="1.15868192"/>
        <n v="1.22809857"/>
        <n v="1.1382328573000002"/>
        <n v="0.3273555264"/>
        <n v="0.452548712"/>
        <n v="0.465595348"/>
        <n v="0.879985512"/>
        <n v="1.0142404668"/>
        <n v="0.9903787176000001"/>
        <n v="1.0480226943999997"/>
        <n v="0.9718495312000002"/>
        <n v="0.9287929064"/>
        <n v="0.9635341408000001"/>
        <n v="0.9389717903999999"/>
        <n v="0.9569241359999999"/>
        <n v="0.962517888"/>
        <n v="0.6345226199999999"/>
        <n v="0.47850941159999993"/>
        <n v="0.8038347019999998"/>
        <n v="0.785731336"/>
        <n v="0.908826592"/>
        <n v="0.7355489472000001"/>
        <n v="1.9888388520000002"/>
        <n v="2.0118115247999997"/>
        <n v="2.0811166387999998"/>
        <n v="2.1831996077999998"/>
        <n v="2.255327066"/>
        <n v="1.5895339560000001"/>
        <n v="1.3426955782"/>
        <n v="1.5612833775000001"/>
        <n v="1.8346600275"/>
        <n v="1.783525338"/>
        <n v="1.7391959855999999"/>
        <n v="1.3571154112"/>
        <n v="1.4973067199999996"/>
        <n v="1.345611"/>
        <n v="1.161537454"/>
        <n v="0.876621816"/>
        <n v="1.5409751040000002"/>
        <n v="1.7609560488"/>
        <n v="1.947747648"/>
        <n v="1.6245109104000002"/>
        <n v="1.5755279759999998"/>
        <n v="1.4474907899999998"/>
        <n v="1.6582837680000002"/>
        <n v="1.536123816"/>
        <n v="1.1225922108"/>
        <n v="1.3145617744"/>
        <n v="1.4167611072000001"/>
        <n v="1.4765460639999999"/>
        <n v="1.2737459112"/>
        <n v="1.2087170448"/>
        <n v="1.18961908"/>
        <n v="1.194516576"/>
        <n v="1.277404128"/>
        <n v="0.945875"/>
        <n v="0.8220594240000001"/>
        <n v="0.5212607576"/>
        <n v="0.881493536"/>
        <n v="1.303309812"/>
        <n v="1.6898351759999999"/>
        <n v="1.7158576380000001"/>
        <n v="1.912336308"/>
        <n v="1.8007218239999998"/>
        <n v="1.7336372480000002"/>
        <n v="1.692435384"/>
        <n v="1.6386910848000003"/>
        <n v="1.7380123632"/>
        <n v="1.7049030479999998"/>
        <n v="1.8663937439999998"/>
        <n v="1.841383152"/>
        <n v="1.024758504"/>
        <n v="1.7263464299999998"/>
        <n v="1.5955942912"/>
        <n v="1.5103155199999998"/>
        <n v="1.4122555776"/>
        <n v="0.47781721679999994"/>
        <n v="0.658381152"/>
        <n v="1.06356726"/>
        <n v="1.2492738829999999"/>
        <n v="0.840287448"/>
        <n v="1.497867932"/>
        <n v="1.4799790720000001"/>
        <n v="1.415691904"/>
        <n v="1.5612751440000001"/>
        <n v="1.6725841131999999"/>
        <n v="1.4743985255999998"/>
        <n v="1.3445344456000001"/>
        <n v="1.3577378303999998"/>
        <n v="1.0518949680000003"/>
        <n v="0.708958008"/>
        <n v="0.7738060187000001"/>
        <n v="0.8362064760000001"/>
        <n v="0.7749573888"/>
        <n v="0.807601368"/>
        <n v="0.273625287"/>
        <n v="0.5254036919999999"/>
        <n v="0.09321031680000001"/>
        <n v="0.4915034"/>
        <n v="1.1231845701999998"/>
        <n v="0.9587787164999999"/>
        <n v="1.3442187374999999"/>
        <n v="1.8043824240000002"/>
        <n v="1.863372672"/>
        <n v="2.2830379200000004"/>
        <n v="1.474081224"/>
        <n v="1.6539152616000001"/>
        <n v="2.5769843471999994"/>
        <n v="2.1759114096"/>
        <n v="2.0502236112000003"/>
        <n v="1.939595328"/>
        <n v="1.732599693"/>
        <n v="1.8384340128000003"/>
        <n v="1.4830474896"/>
        <n v="1.9158443850000002"/>
        <n v="0.07239275760000001"/>
        <n v="0.6888023999999999"/>
        <n v="0.9982351104000001"/>
        <n v="2.1164616774"/>
        <n v="2.129976296"/>
        <n v="2.1503186104000003"/>
        <n v="2.2756970948"/>
        <n v="2.299666226"/>
        <n v="2.7445671666000004"/>
        <n v="2.5426096080000002"/>
        <n v="2.5060282500000004"/>
        <n v="2.781702846"/>
        <n v="0.14046638430000002"/>
        <n v="2.2558220469"/>
        <n v="1.4502715216"/>
        <n v="1.1433562388"/>
        <n v="1.3682120837"/>
        <n v="1.7326689408"/>
        <n v="1.9793087025999998"/>
        <n v="1.6695292068"/>
        <n v="1.74312936"/>
        <n v="1.7804175839999998"/>
        <n v="1.7399799350999998"/>
        <n v="1.6392042072000002"/>
        <n v="1.3502603184000002"/>
        <n v="1.606837148"/>
        <n v="1.5988510032"/>
        <n v="1.35103518"/>
        <n v="1.4490111504"/>
        <n v="1.431837"/>
        <n v="1.6418102799999998"/>
        <n v="1.0487949786"/>
        <n v="1.173476997"/>
        <n v="0.7768334"/>
        <n v="1.1872499904"/>
        <n v="1.0724538859000001"/>
        <n v="1.2365265875"/>
        <n v="0.6959034082000001"/>
        <n v="1.662761358"/>
        <n v="0.969476256"/>
        <n v="1.7516336286000003"/>
        <n v="1.603984704"/>
        <n v="1.40434008"/>
        <n v="1.6676108874000002"/>
        <n v="1.6105708080000003"/>
        <n v="2.28130997"/>
        <n v="1.710257976"/>
        <n v="2.0803639725000003"/>
        <n v="2.1590449680000003"/>
        <n v="1.8906215679999998"/>
        <n v="0.6157123679999998"/>
        <n v="2.3127546996"/>
        <n v="0.410861374"/>
        <n v="3.067639099"/>
        <n v="2.9395107000000005"/>
        <n v="2.6715560300000005"/>
        <n v="2.8535420592000005"/>
        <n v="2.692784556"/>
        <n v="2.5343467366000003"/>
        <n v="2.6760633232"/>
        <n v="0.49984439439999995"/>
        <n v="2.7764034239999997"/>
        <n v="2.7757915040000003"/>
        <n v="2.7280533301"/>
        <n v="1.5944509719999997"/>
        <n v="1.9110261600000003"/>
        <n v="2.0945201865"/>
        <n v="2.339568"/>
        <n v="2.2430118144"/>
        <n v="2.5528196232"/>
        <n v="2.3549083968000004"/>
        <n v="2.3528237544"/>
        <n v="2.3443496820000003"/>
        <n v="1.8594924999999998"/>
        <n v="1.9848446748000002"/>
        <n v="1.7088707900000002"/>
        <n v="1.5968406168"/>
        <n v="1.154318088"/>
        <n v="1.2012000745"/>
        <n v="0.9607513042999998"/>
        <n v="1.6864243344000003"/>
        <n v="2.1906189536000005"/>
        <n v="2.138626924"/>
        <n v="1.352675436"/>
        <n v="1.2919146639999999"/>
        <n v="1.6641691611999998"/>
        <n v="1.3179512808"/>
        <n v="2.2546027349999997"/>
        <n v="2.0990247824000003"/>
        <n v="1.787936512"/>
        <n v="1.8152125200000002"/>
        <n v="1.444954714"/>
        <n v="1.6112910365999997"/>
        <n v="1.13970582"/>
        <n v="0.656942934"/>
        <n v="1.5522402484440003"/>
        <n v="1.25080956"/>
        <n v="0.5935432799999999"/>
        <n v="0.3202143168"/>
        <n v="1.6649031"/>
        <n v="1.6499787696000003"/>
        <n v="0.47383932959999997"/>
        <n v="2.173903641"/>
        <n v="2.2128556319999997"/>
        <n v="2.27326176"/>
        <n v="2.764682592"/>
        <n v="2.2599225"/>
        <n v="1.5124078464"/>
        <n v="2.0225643165"/>
        <n v="0.11117346239999999"/>
        <n v="2.1474091520000003"/>
        <n v="1.7616958560000002"/>
        <n v="1.7137023624"/>
        <n v="2.0424917304"/>
        <n v="0.904351448"/>
        <n v="1.5446773427"/>
        <n v="1.0108868616"/>
        <n v="1.502790672"/>
        <n v="1.6389374664"/>
        <n v="1.86874302"/>
        <n v="1.6936990884000003"/>
        <n v="1.4059722509"/>
        <n v="1.1762733906"/>
        <n v="1.3091332674"/>
        <n v="1.38341784"/>
        <n v="1.2859759068"/>
        <n v="1.2353821919999999"/>
        <n v="1.1867753521"/>
        <n v="0.8727001920000002"/>
        <n v="0.7916233248000001"/>
        <n v="1.068521006"/>
        <n v="0.9441545591999999"/>
        <n v="0.913510224"/>
        <n v="0.4359423936"/>
        <n v="2.495051776"/>
        <n v="2.7293527296"/>
        <n v="3.6066239999999996"/>
        <n v="3.3033469951999996"/>
        <n v="2.8261956491999998"/>
        <n v="4.848599675673"/>
        <n v="2.4348093459999998"/>
        <n v="1.7668229355"/>
        <n v="1.8160924545"/>
        <n v="1.5712195275"/>
        <n v="0.298201722"/>
        <n v="1.6047388304999997"/>
        <n v="1.1702552400000001"/>
        <n v="1.069011702"/>
      </sharedItems>
    </cacheField>
    <cacheField name="7.5" numFmtId="0">
      <sharedItems containsSemiMixedTypes="0" containsString="0" containsNumber="1">
        <n v="6.2"/>
        <n v="4.6"/>
        <n v="4.7"/>
        <n v="5.5"/>
        <n v="6.8"/>
        <n v="7.9"/>
        <n v="7.4"/>
        <n v="7.233"/>
        <n v="7.1"/>
        <n v="5.533"/>
        <n v="3.933"/>
        <n v="1.8"/>
        <n v="2.9"/>
        <n v="3.2"/>
        <n v="3.7"/>
        <n v="3.4"/>
        <n v="4.5"/>
        <n v="5.3"/>
        <n v="4.8"/>
        <n v="5.8"/>
        <n v="4.9"/>
        <n v="6.7"/>
        <n v="7.7"/>
        <n v="7.2"/>
        <n v="7.8"/>
        <n v="8.9"/>
        <n v="7.5"/>
        <n v="8.6"/>
        <n v="9.5"/>
        <n v="1.4"/>
        <n v="11.6"/>
        <n v="11.0"/>
        <n v="10.7"/>
        <n v="9.8"/>
        <n v="9.1"/>
        <n v="9.7"/>
        <n v="10.2"/>
        <n v="10.0"/>
        <n v="9.2"/>
        <n v="8.2"/>
        <n v="10.8"/>
        <n v="2.0"/>
        <n v="2.5"/>
        <n v="2.7"/>
        <n v="3.0"/>
        <n v="1.3"/>
        <n v="2.1"/>
        <n v="1.5"/>
        <n v="1.2"/>
        <n v="1.0"/>
        <n v="2.4"/>
        <n v="3.1"/>
        <n v="2.8"/>
        <n v="3.5"/>
        <n v="2.6"/>
        <n v="2.2"/>
        <n v="1.9"/>
        <n v="1.6"/>
        <n v="0.7"/>
        <n v="3.3"/>
        <n v="3.8"/>
        <n v="2.267"/>
        <n v="0.6"/>
        <n v="6.9"/>
        <n v="6.5"/>
        <n v="5.1"/>
        <n v="3.333"/>
        <n v="4.2"/>
        <n v="6.4"/>
        <n v="6.0"/>
        <n v="8.3"/>
        <n v="8.7"/>
        <n v="8.1"/>
        <n v="9.0"/>
        <n v="8.167"/>
        <n v="6.1"/>
        <n v="2.3"/>
        <n v="3.6"/>
        <n v="1.1"/>
        <n v="11.1"/>
        <n v="13.9"/>
        <n v="8.4"/>
        <n v="9.4"/>
        <n v="9.3"/>
        <n v="8.5"/>
        <n v="9.033"/>
        <n v="10.1"/>
        <n v="9.9"/>
        <n v="5.4"/>
        <n v="5.6"/>
        <n v="8.8"/>
        <n v="6.6"/>
        <n v="5.9"/>
        <n v="4.0"/>
        <n v="13.8"/>
        <n v="13.6"/>
        <n v="14.5"/>
        <n v="14.2"/>
        <n v="13.7"/>
        <n v="12.0"/>
        <n v="12.6"/>
        <n v="12.3"/>
        <n v="11.2"/>
        <n v="10.5"/>
        <n v="5.2"/>
        <n v="5.0"/>
        <n v="4.4"/>
        <n v="3.9"/>
        <n v="4.1"/>
        <n v="4.3"/>
        <n v="1.7"/>
        <n v="5.7"/>
        <n v="6.3"/>
        <n v="7.6"/>
        <n v="7.0"/>
        <n v="7.3"/>
        <n v="13.1"/>
        <n v="12.2"/>
        <n v="11.9"/>
        <n v="12.8"/>
        <n v="11.5"/>
        <n v="12.5"/>
        <n v="8.0"/>
        <n v="11.4"/>
        <n v="1.533"/>
        <n v="3.433"/>
      </sharedItems>
    </cacheField>
    <cacheField name="0.6550" numFmtId="165">
      <sharedItems containsSemiMixedTypes="0" containsString="0" containsNumber="1">
        <n v="0.570008427406"/>
        <n v="0.26965757460199996"/>
        <n v="0.372996839214"/>
        <n v="0.37876928931"/>
        <n v="0.380954515095"/>
        <n v="0.530349228255"/>
        <n v="0.38739542342799993"/>
        <n v="0.703278511481"/>
        <n v="0.6539023153499999"/>
        <n v="1.1160697364333398"/>
        <n v="0.675211002165"/>
        <n v="0.7593555445502401"/>
        <n v="0.26264779632972"/>
        <n v="0.12768529536"/>
        <n v="0.285174315465"/>
        <n v="0.3192426169920001"/>
        <n v="0.33840186162"/>
        <n v="0.306126378"/>
        <n v="0.39971823822"/>
        <n v="0.431940519"/>
        <n v="0.47854332630000007"/>
        <n v="0.5499126936000001"/>
        <n v="0.45671247359999995"/>
        <n v="0.585841239334"/>
        <n v="0.43960279499999994"/>
        <n v="0.456256541608"/>
        <n v="0.4687413272640001"/>
        <n v="0.5878463066909999"/>
        <n v="0.7578983079360002"/>
        <n v="0.7434258059520001"/>
        <n v="0.683159989512"/>
        <n v="0.7676884420480001"/>
        <n v="0.7393227960000001"/>
        <n v="0.685517688765"/>
        <n v="0.8303453694899999"/>
        <n v="0.917831195475"/>
        <n v="0.70398507025"/>
        <n v="0.7125978748980001"/>
        <n v="0.6627828046"/>
        <n v="0.011557200228000001"/>
        <n v="0.60328331505"/>
        <n v="0.5462595239399999"/>
        <n v="0.8694179038800001"/>
        <n v="0.83457865656"/>
        <n v="0.463922249292"/>
        <n v="0.7447572780760001"/>
        <n v="0.5310775753920001"/>
        <n v="0.627530968225"/>
        <n v="0.615956062612"/>
        <n v="0.7764952268039998"/>
        <n v="0.6778076082"/>
        <n v="0.5072242881599999"/>
        <n v="0.40340268742800006"/>
        <n v="0.394892023488"/>
        <n v="0.392591162195"/>
        <n v="0.513090184695"/>
        <n v="0.58281149808"/>
        <n v="0.42393545152000006"/>
        <n v="0.301715344752"/>
        <n v="0.2844232482359999"/>
        <n v="0.17950613736"/>
        <n v="0.2261996313"/>
        <n v="0.20425331277"/>
        <n v="0.334775454324"/>
        <n v="0.42890064936000005"/>
        <n v="0.27360182271899997"/>
        <n v="0.29535488328000004"/>
        <n v="0.009664434208"/>
        <n v="0.244168800084"/>
        <n v="0.135494140005"/>
        <n v="0.17598389741999998"/>
        <n v="0.150016863375"/>
        <n v="0.116488101996"/>
        <n v="0.08112540891999999"/>
        <n v="0.040129084960000005"/>
        <n v="0.16248564659999998"/>
        <n v="0.13961840886000002"/>
        <n v="0.147190963752"/>
        <n v="0.19728338184000002"/>
        <n v="0.17250480222300002"/>
        <n v="0.20064498512499998"/>
        <n v="0.1945888182"/>
        <n v="0.22006224174999997"/>
        <n v="0.21848847142500002"/>
        <n v="0.163613437056"/>
        <n v="0.18232871839200004"/>
        <n v="0.15601502144800003"/>
        <n v="0.11480916585600001"/>
        <n v="0.10595682474999998"/>
        <n v="0.173519634024"/>
        <n v="0.11752974196699999"/>
        <n v="0.10700168371199999"/>
        <n v="0.06334590329999999"/>
        <n v="0.09385319195200002"/>
        <n v="0.025650135672"/>
        <n v="0.11870065968"/>
        <n v="0.115912355328"/>
        <n v="0.18042438959999998"/>
        <n v="0.18275853206"/>
        <n v="0.23496727419000002"/>
        <n v="0.20542640053599998"/>
        <n v="0.19039521251400002"/>
        <n v="0.18821892622500003"/>
        <n v="0.253587538512"/>
        <n v="0.15266241527799995"/>
        <n v="0.21554853648000002"/>
        <n v="0.32220647537276004"/>
        <n v="0.16962409444200002"/>
        <n v="0.12749618974399998"/>
        <n v="0.018338783904"/>
        <n v="0.30927427479"/>
        <n v="0.589895624812"/>
        <n v="0.58530993975"/>
        <n v="0.43096837874999994"/>
        <n v="0.38739703275000004"/>
        <n v="0.6770151558"/>
        <n v="0.5665305289800001"/>
        <n v="0.39021271644"/>
        <n v="0.257555894832"/>
        <n v="0.382083596475"/>
        <n v="0.276824170073"/>
        <n v="0.324619345776"/>
        <n v="0.36628148958799994"/>
        <n v="0.24207133463999994"/>
        <n v="0.46196912453406"/>
        <n v="0.29498804193600003"/>
        <n v="0.40391391072000005"/>
        <n v="0.38965247359199995"/>
        <n v="0.30924658789500004"/>
        <n v="0.38332499430000005"/>
        <n v="0.472986062985"/>
        <n v="0.5087299446"/>
        <n v="0.5030849105149999"/>
        <n v="0.588113346095"/>
        <n v="0.399546897786"/>
        <n v="0.6221439098900001"/>
        <n v="0.558018309735"/>
        <n v="0.64062560205"/>
        <n v="1.1553773263484701"/>
        <n v="0.402521308475"/>
        <n v="0.41923846138199994"/>
        <n v="0.2391853536"/>
        <n v="0.18208650797999998"/>
        <n v="0.09485167910399997"/>
        <n v="0.11366280390000001"/>
        <n v="0.18176323243"/>
        <n v="0.139714266636"/>
        <n v="0.125286720192"/>
        <n v="0.20752534281599996"/>
        <n v="0.113294759001"/>
        <n v="0.136572924092"/>
        <n v="0.25248975696"/>
        <n v="0.25646724208800004"/>
        <n v="0.23400707988000002"/>
        <n v="0.248115166272"/>
        <n v="0.23109540299999998"/>
        <n v="0.13924415076"/>
        <n v="0.094477484934"/>
        <n v="0.060019568168"/>
        <n v="0.0693723879"/>
        <n v="0.066570771267"/>
        <n v="0.6123078655199999"/>
        <n v="0.67028981292"/>
        <n v="0.954576686448"/>
        <n v="1.1763240620039999"/>
        <n v="0.8788226733000001"/>
        <n v="0.8560404509999999"/>
        <n v="0.7246487021759999"/>
        <n v="0.712719533556"/>
        <n v="0.840226139676"/>
        <n v="0.49659259355100005"/>
        <n v="0.629815633416"/>
        <n v="0.746954309685"/>
        <n v="0.45063673100400004"/>
        <n v="0.4582531354169999"/>
        <n v="0.610139387272"/>
        <n v="0.79611588679128"/>
        <n v="0.597955075718"/>
        <n v="0.459919858572"/>
        <n v="0.534973436498"/>
        <n v="0.6101956740600001"/>
        <n v="0.653493388086"/>
        <n v="0.583715083694"/>
        <n v="0.5101806824919999"/>
        <n v="0.45335347622499994"/>
        <n v="0.5749913106000001"/>
        <n v="0.6090565105039999"/>
        <n v="1.2937913325000001"/>
        <n v="0.5915385097920001"/>
        <n v="0.605277951096"/>
        <n v="0.5378049085719999"/>
        <n v="0.22157267220000001"/>
        <n v="0.2000338263"/>
        <n v="0.39571002744"/>
        <n v="0.48908251337400005"/>
        <n v="0.391597630032"/>
        <n v="0.5437820933999999"/>
        <n v="0.49836718512000006"/>
        <n v="0.6073477121919999"/>
        <n v="0.578321247368"/>
        <n v="0.39381614639999996"/>
        <n v="0.52589492571"/>
        <n v="0.6485405895"/>
        <n v="0.77853368186"/>
        <n v="0.8945246827619999"/>
        <n v="0.69541176144"/>
        <n v="0.24003986793599996"/>
        <n v="0.16421797871600005"/>
        <n v="0.23753699073000004"/>
        <n v="0.20426316782400003"/>
        <n v="0.19702773455999997"/>
        <n v="0.260416048836"/>
        <n v="0.35805211117499997"/>
        <n v="0.406036228356"/>
        <n v="0.4723335815760001"/>
        <n v="0.5295315366000001"/>
        <n v="0.540539522325"/>
        <n v="0.44377941564"/>
        <n v="0.386065323776"/>
        <n v="0.38679596969200003"/>
        <n v="0.25895104752"/>
        <n v="0.35703840606"/>
        <n v="0.27790928000000004"/>
        <n v="0.28439547832799994"/>
        <n v="0.41741335252000006"/>
        <n v="0.46253912036"/>
        <n v="0.784454303136"/>
        <n v="0.779124689632"/>
        <n v="0.8123689823700001"/>
        <n v="0.843139794696"/>
        <n v="0.8200919281159998"/>
        <n v="0.71251250256"/>
        <n v="0.7573364149680001"/>
        <n v="0.7708990555080001"/>
        <n v="0.7236028737279999"/>
        <n v="0.6999622984199999"/>
        <n v="0.44222978772499993"/>
        <n v="0.3239695881"/>
        <n v="0.5655899784159999"/>
        <n v="0.58528972818"/>
        <n v="0.549133628904"/>
        <n v="0.5252432320520001"/>
        <n v="0.30172658856"/>
        <n v="0.25608792384"/>
        <n v="0.384271990336"/>
        <n v="0.42010336588"/>
        <n v="0.39519601349999994"/>
        <n v="0.27472778354700006"/>
        <n v="0.243406264"/>
        <n v="0.30095688139999993"/>
        <n v="0.30620429373600005"/>
        <n v="0.27126720503999996"/>
        <n v="0.22257827744"/>
        <n v="0.2544207204"/>
        <n v="0.19254473549999998"/>
        <n v="0.20940814523"/>
        <n v="0.15981077136000002"/>
        <n v="0.23469001322400002"/>
        <n v="0.192006242208"/>
        <n v="0.266580218256"/>
        <n v="0.260033256"/>
        <n v="0.272516699136"/>
        <n v="0.19310016344399997"/>
        <n v="0.307361682"/>
        <n v="0.230714206632"/>
        <n v="0.183869032"/>
        <n v="0.288718420032"/>
        <n v="0.24660426672"/>
        <n v="0.18392427350399998"/>
        <n v="0.1560199536"/>
        <n v="0.131488026"/>
        <n v="0.136890257504"/>
        <n v="0.16574496307199998"/>
        <n v="0.1833751626"/>
        <n v="0.13449995"/>
        <n v="0.09089283593599998"/>
        <n v="0.04984905064"/>
        <n v="0.16466104648"/>
        <n v="0.10921809786"/>
        <n v="0.13902925478399997"/>
        <n v="0.15377129154"/>
        <n v="0.168063377328"/>
        <n v="0.19967862301199998"/>
        <n v="0.18076796976"/>
        <n v="0.229932959832"/>
        <n v="0.24501048816"/>
        <n v="0.22354596557999998"/>
        <n v="0.276527253744"/>
        <n v="0.30570620454"/>
        <n v="0.26170270526399997"/>
        <n v="0.17689025404"/>
        <n v="0.247976981016"/>
        <n v="0.3047350572"/>
        <n v="0.28627016165999997"/>
        <n v="0.322719979568"/>
        <n v="0.14017554353399997"/>
        <n v="0.11309375959199999"/>
        <n v="0.19342685231099999"/>
        <n v="0.279060537756"/>
        <n v="0.174063804565"/>
        <n v="0.32376501519999995"/>
        <n v="0.331190838"/>
        <n v="0.34286581929599996"/>
        <n v="0.40792918452"/>
        <n v="0.34313291869999996"/>
        <n v="0.391171527318"/>
        <n v="0.2696215227"/>
        <n v="0.26076081163599996"/>
        <n v="0.19739418165"/>
        <n v="0.1209538926"/>
        <n v="0.15666840082800002"/>
        <n v="0.14128132595999998"/>
        <n v="0.147698889408"/>
        <n v="0.12614765541"/>
        <n v="0.065642098995"/>
        <n v="0.121861863728"/>
        <n v="0.048598528064"/>
        <n v="0.08384850402499999"/>
        <n v="0.17940461907499997"/>
        <n v="0.18345281488999998"/>
        <n v="0.289804670666"/>
        <n v="0.311694507"/>
        <n v="0.40155943211999995"/>
        <n v="0.44970301476400004"/>
        <n v="0.31102845816899993"/>
        <n v="0.37152315797999996"/>
        <n v="0.34928207099999997"/>
        <n v="0.39015614687399996"/>
        <n v="0.4059284187600001"/>
        <n v="0.3823744196160001"/>
        <n v="0.34405355820000005"/>
        <n v="0.358237994812"/>
        <n v="0.25390261972800005"/>
        <n v="0.4232187015"/>
        <n v="0.034356183246"/>
        <n v="0.17802905119999995"/>
        <n v="0.165602668952"/>
        <n v="0.42893002403999997"/>
        <n v="0.5304152746199999"/>
        <n v="0.5314584451200001"/>
        <n v="0.53052821966"/>
        <n v="0.596792158116"/>
        <n v="0.602083552356"/>
        <n v="0.64317462244"/>
        <n v="0.648703605"/>
        <n v="0.538889544508"/>
        <n v="0.03374267947199999"/>
        <n v="0.6774422910750001"/>
        <n v="0.5245043429520001"/>
        <n v="0.3745753006039999"/>
        <n v="0.383511972103"/>
        <n v="0.47392503350399995"/>
        <n v="0.44359136415"/>
        <n v="0.38501104746"/>
        <n v="0.43409197944"/>
        <n v="0.48669002668800004"/>
        <n v="0.540266230248"/>
        <n v="0.45078151727"/>
        <n v="0.32077343793600005"/>
        <n v="0.439922268485"/>
        <n v="0.38639151381599995"/>
        <n v="0.40671568200999997"/>
        <n v="0.40611520170399995"/>
        <n v="0.49922927815499996"/>
        <n v="0.563650194926"/>
        <n v="0.325193681944"/>
        <n v="0.49084782057"/>
        <n v="0.24806129119199996"/>
        <n v="0.247322551296"/>
        <n v="0.259052290204"/>
        <n v="0.38675060762499996"/>
        <n v="0.25589504645999994"/>
        <n v="0.6468795255719999"/>
        <n v="0.37050690004799997"/>
        <n v="0.8730274983"/>
        <n v="0.950951316"/>
        <n v="0.99462792891"/>
        <n v="1.0953049194359998"/>
        <n v="1.03598276103"/>
        <n v="1.1145493548999998"/>
        <n v="0.9860135667479999"/>
        <n v="1.1431152280319998"/>
        <n v="1.0833458988"/>
        <n v="1.1870852100000002"/>
        <n v="0.28879934157599996"/>
        <n v="0.46158675287400003"/>
        <n v="0.050376438965"/>
        <n v="0.36403342621"/>
        <n v="0.470532243076"/>
        <n v="0.63517609888"/>
        <n v="0.520592645727"/>
        <n v="0.45816588295500005"/>
        <n v="0.49983814903699997"/>
        <n v="0.43582363242000005"/>
        <n v="0.09663080723399999"/>
        <n v="0.389762030954"/>
        <n v="0.402163469389"/>
        <n v="0.327342358805"/>
        <n v="0.357492546684"/>
        <n v="0.363665539906"/>
        <n v="0.7361027738299999"/>
        <n v="0.9746398887120001"/>
        <n v="0.86594297628"/>
        <n v="1.05030644004"/>
        <n v="1.06239596976"/>
        <n v="0.952879830336"/>
        <n v="0.9760522053959999"/>
        <n v="0.7152689062499998"/>
        <n v="0.866864604816"/>
        <n v="0.585303798015"/>
        <n v="0.706945357536"/>
        <n v="0.5289122440139999"/>
        <n v="0.5619376305000001"/>
        <n v="0.471060580864"/>
        <n v="0.132182482668"/>
        <n v="0.16902019420800002"/>
        <n v="0.19336967433000002"/>
        <n v="0.146363252242"/>
        <n v="0.15245204781399999"/>
        <n v="0.138862659936"/>
        <n v="0.115490674824"/>
        <n v="0.28557425372"/>
        <n v="0.26644821174000005"/>
        <n v="0.19471185972"/>
        <n v="0.20494550405200002"/>
        <n v="0.19352342999599997"/>
        <n v="0.196305622929"/>
        <n v="0.115444070775"/>
        <n v="0.07968968409999999"/>
        <n v="0.18199446167385"/>
        <n v="0.12880612836000002"/>
        <n v="0.0795580236"/>
        <n v="0.025556255438"/>
        <n v="0.60190022448"/>
        <n v="0.539684155398"/>
        <n v="0.17739776152800002"/>
        <n v="0.6583698207450001"/>
        <n v="0.8147213410049999"/>
        <n v="0.7569658311599999"/>
        <n v="0.6417157704399999"/>
        <n v="0.6237464705999999"/>
        <n v="0.362554101338"/>
        <n v="0.39433652752"/>
        <n v="0.036599433882"/>
        <n v="0.39835413631199995"/>
        <n v="0.44310207513600003"/>
        <n v="0.37698698192400004"/>
        <n v="0.38212823891699993"/>
        <n v="0.24670844575999998"/>
        <n v="0.19448328843899998"/>
        <n v="0.112028761536"/>
        <n v="0.20520236313600002"/>
        <n v="0.21807509985"/>
        <n v="0.26773126373699996"/>
        <n v="0.28394018238299995"/>
        <n v="0.19406774463700002"/>
        <n v="0.161661448377"/>
        <n v="0.24014644080000003"/>
        <n v="0.24677028357799996"/>
        <n v="0.19358622738"/>
        <n v="0.24156192816000002"/>
        <n v="0.22750295692800004"/>
        <n v="0.18444644946000002"/>
        <n v="0.122767720632"/>
        <n v="0.16290816160500002"/>
        <n v="0.19500050196"/>
        <n v="0.20292377291999997"/>
        <n v="0.142719575292"/>
        <n v="0.17630205179999994"/>
        <n v="0.14923271877999997"/>
        <n v="0.19330182211199998"/>
        <n v="0.288320592688"/>
        <n v="0.44975782020000005"/>
        <n v="0.5742705979274401"/>
        <n v="0.431612082304"/>
        <n v="0.67863664323"/>
        <n v="0.74424540825"/>
        <n v="0.37965676454999997"/>
        <n v="0.047911412517"/>
        <n v="0.34915207338000004"/>
        <n v="0.32748809219999997"/>
        <n v="0.3523418595"/>
      </sharedItems>
    </cacheField>
    <cacheField name="4.1" numFmtId="0">
      <sharedItems containsSemiMixedTypes="0" containsString="0" containsNumber="1">
        <n v="3.7"/>
        <n v="4.9"/>
        <n v="3.8"/>
        <n v="4.5"/>
        <n v="4.2"/>
        <n v="4.0"/>
        <n v="3.2"/>
        <n v="2.9"/>
        <n v="3.0"/>
        <n v="2.933"/>
        <n v="2.367"/>
        <n v="19.6"/>
        <n v="22.7"/>
        <n v="23.0"/>
        <n v="24.0"/>
        <n v="23.9"/>
        <n v="23.6"/>
        <n v="24.7"/>
        <n v="24.1"/>
        <n v="22.8"/>
        <n v="21.0"/>
        <n v="18.6"/>
        <n v="19.3"/>
        <n v="6.9"/>
        <n v="6.4"/>
        <n v="6.3"/>
        <n v="5.5"/>
        <n v="6.0"/>
        <n v="6.8"/>
        <n v="4.8"/>
        <n v="5.0"/>
        <n v="4.7"/>
        <n v="4.4"/>
        <n v="3.5"/>
        <n v="2.5"/>
        <n v="0.7"/>
        <n v="5.1"/>
        <n v="4.1"/>
        <n v="3.6"/>
        <n v="4.3"/>
        <n v="4.6"/>
        <n v="5.4"/>
        <n v="3.9"/>
        <n v="12.0"/>
        <n v="13.0"/>
        <n v="12.2"/>
        <n v="11.7"/>
        <n v="10.7"/>
        <n v="10.8"/>
        <n v="8.5"/>
        <n v="10.6"/>
        <n v="10.0"/>
        <n v="9.6"/>
        <n v="8.6"/>
        <n v="8.3"/>
        <n v="7.9"/>
        <n v="3.4"/>
        <n v="6.5"/>
        <n v="9.2"/>
        <n v="9.9"/>
        <n v="8.7"/>
        <n v="9.7"/>
        <n v="9.0"/>
        <n v="8.9"/>
        <n v="8.4"/>
        <n v="7.7"/>
        <n v="7.0"/>
        <n v="6.7"/>
        <n v="6.2"/>
        <n v="5.9"/>
        <n v="5.7"/>
        <n v="3.1"/>
        <n v="5.8"/>
        <n v="7.2"/>
        <n v="6.567"/>
        <n v="5.2"/>
        <n v="2.6"/>
        <n v="3.3"/>
        <n v="4.033"/>
        <n v="1.9"/>
        <n v="11.9"/>
        <n v="11.5"/>
        <n v="11.4"/>
        <n v="12.1"/>
        <n v="13.5"/>
        <n v="14.0"/>
        <n v="13.8"/>
        <n v="10.9"/>
        <n v="9.8"/>
        <n v="7.4"/>
        <n v="2.7"/>
        <n v="4.467"/>
        <n v="7.3"/>
        <n v="8.2"/>
        <n v="7.367"/>
        <n v="5.6"/>
        <n v="7.1"/>
        <n v="6.6"/>
        <n v="7.8"/>
        <n v="1.3"/>
        <n v="2.2"/>
        <n v="1.8"/>
        <n v="2.8"/>
        <n v="15.7"/>
        <n v="11.0"/>
        <n v="8.0"/>
        <n v="5.3"/>
        <n v="14.5"/>
        <n v="16.0"/>
        <n v="16.6"/>
        <n v="16.1"/>
        <n v="16.9"/>
        <n v="13.3"/>
        <n v="12.9"/>
        <n v="12.8"/>
        <n v="10.3"/>
        <n v="7.5"/>
        <n v="6.1"/>
        <n v="10.4"/>
        <n v="11.1"/>
        <n v="11.8"/>
        <n v="11.2"/>
        <n v="9.4"/>
        <n v="9.5"/>
        <n v="13.4"/>
        <n v="13.9"/>
        <n v="12.7"/>
        <n v="10.1"/>
        <n v="10.5"/>
        <n v="9.3"/>
        <n v="7.6"/>
        <n v="12.5"/>
        <n v="13.2"/>
        <n v="13.6"/>
        <n v="9.167"/>
        <n v="12.4"/>
        <n v="11.3"/>
        <n v="9.1"/>
        <n v="27.0"/>
        <n v="27.2"/>
        <n v="25.7"/>
        <n v="24.3"/>
        <n v="22.3"/>
        <n v="22.9"/>
        <n v="24.6"/>
        <n v="24.2"/>
        <n v="23.8"/>
        <n v="21.1"/>
        <n v="18.4"/>
        <n v="18.2"/>
        <n v="19.2"/>
      </sharedItems>
    </cacheField>
    <cacheField name="0.5237" numFmtId="165">
      <sharedItems containsSemiMixedTypes="0" containsString="0" containsNumber="1">
        <n v="0.4927208820520001"/>
        <n v="0.38960113101000005"/>
        <n v="0.428325176574"/>
        <n v="0.43853391848799994"/>
        <n v="0.439882008705"/>
        <n v="0.5624471337660001"/>
        <n v="0.290702923342"/>
        <n v="0.49460774692"/>
        <n v="0.388194747552"/>
        <n v="0.6336414733619999"/>
        <n v="0.4046175"/>
        <n v="0.55924355569082"/>
        <n v="0.21957501939390003"/>
        <n v="1.1506334526400002"/>
        <n v="1.667287152775"/>
        <n v="1.7554635000000003"/>
        <n v="1.84416"/>
        <n v="1.9411830711"/>
        <n v="1.9172922029440003"/>
        <n v="2.1064857084"/>
        <n v="2.2314327282"/>
        <n v="2.1319372125"/>
        <n v="1.9903203684000002"/>
        <n v="1.9290313087500002"/>
        <n v="1.6727357952000002"/>
        <n v="1.9934493367200001"/>
        <n v="0.7651302956159999"/>
        <n v="0.616526158848"/>
        <n v="0.690888356928"/>
        <n v="0.61884406848"/>
        <n v="0.6040361664"/>
        <n v="0.6479937534720001"/>
        <n v="0.39158551248000006"/>
        <n v="0.36058068374999996"/>
        <n v="0.40627125"/>
        <n v="0.38149900000000003"/>
        <n v="0.36288762510000006"/>
        <n v="0.29245080214"/>
        <n v="0.22658826312500002"/>
        <n v="0.0073722306839999995"/>
        <n v="0.541521131859"/>
        <n v="0.38241456264"/>
        <n v="0.42518"/>
        <n v="0.5797512656649999"/>
        <n v="0.25295634126"/>
        <n v="0.44212550030799996"/>
        <n v="0.285667651296"/>
        <n v="0.34332875516500005"/>
        <n v="0.34846908408399996"/>
        <n v="0.48614575415999994"/>
        <n v="0.396023995836"/>
        <n v="0.39132409799999995"/>
        <n v="0.40182699348"/>
        <n v="0.329423057904"/>
        <n v="0.4359960937500001"/>
        <n v="0.39682528785000004"/>
        <n v="0.3586468809"/>
        <n v="0.32624508671999997"/>
        <n v="0.29020838418"/>
        <n v="0.239190047838"/>
        <n v="1.70015177856"/>
        <n v="1.8333246984000002"/>
        <n v="1.41378999476"/>
        <n v="1.657647984096"/>
        <n v="1.4823665199699998"/>
        <n v="1.5660377124120002"/>
        <n v="1.8038216777359999"/>
        <n v="0.09242042928000001"/>
        <n v="1.388487349984"/>
        <n v="0.875125935"/>
        <n v="1.33307434896"/>
        <n v="1.2054520463599998"/>
        <n v="1.1370816879590002"/>
        <n v="0.8900556390040001"/>
        <n v="0.18505784928000002"/>
        <n v="0.60002737314"/>
        <n v="0.8572626107519998"/>
        <n v="0.8568767357370001"/>
        <n v="0.904144010616"/>
        <n v="0.766582286898"/>
        <n v="0.8720452411249999"/>
        <n v="0.8586593033400001"/>
        <n v="0.815697916125"/>
        <n v="0.7613795"/>
        <n v="0.795593890728"/>
        <n v="0.7222988064600001"/>
        <n v="0.59602453064"/>
        <n v="0.47541258634799993"/>
        <n v="0.41337372216799995"/>
        <n v="0.5609270581920001"/>
        <n v="0.5066595582600001"/>
        <n v="0.53752322624"/>
        <n v="0.38966823609999995"/>
        <n v="0.487233984765"/>
        <n v="0.168921517386"/>
        <n v="0.6842831853899999"/>
        <n v="0.8683801136640001"/>
        <n v="0.82263219192"/>
        <n v="0.90480195628"/>
        <n v="0.72425249253"/>
        <n v="0.7363817671680001"/>
        <n v="0.8050863378600001"/>
        <n v="0.77249162796"/>
        <n v="1.0779549983999999"/>
        <n v="0.4307906818599999"/>
        <n v="0.71723021488"/>
        <n v="1.4471252252872802"/>
        <n v="0.616205651828"/>
        <n v="0.628115561472"/>
        <n v="0.10778590368"/>
        <n v="0.37913456208"/>
        <n v="0.6265709742760001"/>
        <n v="0.68360380839"/>
        <n v="0.38243244585"/>
        <n v="0.334425"/>
        <n v="0.6270635533500001"/>
        <n v="0.58114707408"/>
        <n v="0.7703650790400001"/>
        <n v="0.36542385244799996"/>
        <n v="0.53728318325"/>
        <n v="0.373119978915"/>
        <n v="0.3286027941"/>
        <n v="0.45415779056199995"/>
        <n v="0.4069365102"/>
        <n v="0.74733102719"/>
        <n v="0.41777915352"/>
        <n v="0.295103421"/>
        <n v="0.34658357500799997"/>
        <n v="0.33600235208"/>
        <n v="0.32687836796999997"/>
        <n v="0.34811792381"/>
        <n v="0.427844741688"/>
        <n v="0.47671272896999994"/>
        <n v="0.47211786188"/>
        <n v="0.3052206599400001"/>
        <n v="0.645352380725"/>
        <n v="0.444144131016"/>
        <n v="0.48218785656"/>
        <n v="0.7923602361315901"/>
        <n v="0.42391382334000005"/>
        <n v="0.29593316825400007"/>
        <n v="0.297578207268"/>
        <n v="0.163298743794"/>
        <n v="1.33188069168"/>
        <n v="1.0648987971000001"/>
        <n v="1.1536362684600001"/>
        <n v="1.307590104348"/>
        <n v="1.4971902624"/>
        <n v="1.58146039296"/>
        <n v="1.05951039804"/>
        <n v="1.150660025548"/>
        <n v="1.4684989363199998"/>
        <n v="1.314415633356"/>
        <n v="1.1097935098560001"/>
        <n v="1.128205412984"/>
        <n v="1.0365108516000001"/>
        <n v="0.6588574166720002"/>
        <n v="0.6834336969600001"/>
        <n v="0.37751936387600005"/>
        <n v="0.5995698462800001"/>
        <n v="0.51245460942"/>
        <n v="0.36034596322999995"/>
        <n v="0.5466416676"/>
        <n v="0.5726845420800001"/>
        <n v="0.62910924615"/>
        <n v="0.4773117492"/>
        <n v="0.53903244213"/>
        <n v="0.47642214916799996"/>
        <n v="0.46518979248"/>
        <n v="0.5361781024319999"/>
        <n v="0.27464733053999996"/>
        <n v="0.42879592236799996"/>
        <n v="0.399050329336"/>
        <n v="0.27339943629600005"/>
        <n v="0.49393062246599995"/>
        <n v="0.6423579599839999"/>
        <n v="0.57580602769656"/>
        <n v="0.5901039357920002"/>
        <n v="0.39276850524"/>
        <n v="0.5416591116239999"/>
        <n v="0.558503228928"/>
        <n v="0.680051986282"/>
        <n v="0.573831816894"/>
        <n v="0.489461186944"/>
        <n v="0.56142434885"/>
        <n v="0.685998832878"/>
        <n v="0.7686990519239999"/>
        <n v="1.3517524125"/>
        <n v="0.585679316456"/>
        <n v="0.5174118196799999"/>
        <n v="0.40948369457600003"/>
        <n v="0.22458428016999996"/>
        <n v="0.37385482002"/>
        <n v="0.654433087308"/>
        <n v="0.6544105907559999"/>
        <n v="0.45518207343"/>
        <n v="0.5169536010000001"/>
        <n v="0.52028835"/>
        <n v="0.6485633725479999"/>
        <n v="0.45633132575"/>
        <n v="0.35237368627199994"/>
        <n v="0.3635408469"/>
        <n v="0.5074695693599999"/>
        <n v="0.471366229378"/>
        <n v="0.499115285424"/>
        <n v="0.451641468894"/>
        <n v="0.187656751552"/>
        <n v="0.46505884231700007"/>
        <n v="0.3793736775960001"/>
        <n v="0.31605442225"/>
        <n v="0.36152960298"/>
        <n v="0.4597278345"/>
        <n v="0.480324762368"/>
        <n v="0.5838535626000001"/>
        <n v="0.691211234376"/>
        <n v="0.7945475776200001"/>
        <n v="0.761572104744"/>
        <n v="0.6496309813009999"/>
        <n v="0.583998570496"/>
        <n v="0.5944965711300001"/>
        <n v="0.380438502752"/>
        <n v="0.4659058656"/>
        <n v="0.40304852280000003"/>
        <n v="0.11975598777999999"/>
        <n v="0.20219919632000002"/>
        <n v="0.16393177188"/>
        <n v="0.267763487184"/>
        <n v="0.27384196559999996"/>
        <n v="0.229940684896"/>
        <n v="0.26838200568"/>
        <n v="0.30260467855199996"/>
        <n v="0.269627264288"/>
        <n v="0.288892549624"/>
        <n v="0.29861496492399997"/>
        <n v="0.27167592961599996"/>
        <n v="0.27299793057599997"/>
        <n v="0.19593502292"/>
        <n v="0.16990662564"/>
        <n v="0.242861858824"/>
        <n v="0.26400511827199996"/>
        <n v="0.302431773824"/>
        <n v="0.2368333807"/>
        <n v="1.5261043461359998"/>
        <n v="1.012243043616"/>
        <n v="1.1026614469759999"/>
        <n v="1.1495059972200001"/>
        <n v="1.15270955954"/>
        <n v="0.8750481799500001"/>
        <n v="0.60383154195"/>
        <n v="0.7346746908"/>
        <n v="0.7601274838500001"/>
        <n v="0.8917323227999999"/>
        <n v="0.75967564662"/>
        <n v="0.65052604736"/>
        <n v="0.73064968641"/>
        <n v="0.561937011625"/>
        <n v="0.501772417"/>
        <n v="0.35478459654000005"/>
        <n v="1.0589001976799999"/>
        <n v="1.1640408537600002"/>
        <n v="1.239678762432"/>
        <n v="1.1393835030480002"/>
        <n v="1.14800270464"/>
        <n v="0.9103703238"/>
        <n v="1.3773714711119998"/>
        <n v="1.0908713944800001"/>
        <n v="0.79998920946"/>
        <n v="1.0673499607040002"/>
        <n v="0.9292233142080001"/>
        <n v="0.8924487365199999"/>
        <n v="0.7161839269199999"/>
        <n v="0.627309963"/>
        <n v="0.639866947888"/>
        <n v="0.67595662068"/>
        <n v="0.52074418512"/>
        <n v="0.559602425"/>
        <n v="0.5210708486400001"/>
        <n v="0.35742102480000004"/>
        <n v="0.82338889696"/>
        <n v="0.9652289899200001"/>
        <n v="1.12912232256"/>
        <n v="0.9709703443999999"/>
        <n v="1.051707996576"/>
        <n v="1.1128683556799999"/>
        <n v="1.0338034488319998"/>
        <n v="1.0611828433919999"/>
        <n v="1.09214141988"/>
        <n v="1.040548026072"/>
        <n v="0.9690040585679999"/>
        <n v="0.983655236124"/>
        <n v="1.001130026176"/>
        <n v="0.5500690872"/>
        <n v="0.9043071443399999"/>
        <n v="0.787754083648"/>
        <n v="0.8080148249199999"/>
        <n v="0.7437992976960001"/>
        <n v="0.43124988901199995"/>
        <n v="0.594453045186"/>
        <n v="0.73006416504"/>
        <n v="0.9239107637760001"/>
        <n v="0.5710086564000001"/>
        <n v="1.085237104688"/>
        <n v="1.0583171322240001"/>
        <n v="1.1259509422479999"/>
        <n v="1.265235855884"/>
        <n v="1.315555826156"/>
        <n v="1.28684670543"/>
        <n v="1.146549851676"/>
        <n v="1.1527660231680001"/>
        <n v="0.757505"/>
        <n v="0.571351265745"/>
        <n v="0.58840365711"/>
        <n v="0.74342396069"/>
        <n v="0.5678518905919999"/>
        <n v="0.613607947524"/>
        <n v="0.40659775655400004"/>
        <n v="0.65555565708"/>
        <n v="0.164791008564"/>
        <n v="0.179234472225"/>
        <n v="0.322229251876"/>
        <n v="0.34704515805"/>
        <n v="0.529215508143"/>
        <n v="0.5154823760160001"/>
        <n v="0.5667128777199999"/>
        <n v="0.7303920609720002"/>
        <n v="0.46258840507000004"/>
        <n v="0.5074430600290001"/>
        <n v="0.564752510856"/>
        <n v="0.583166113137"/>
        <n v="0.671643"/>
        <n v="0.563768130224"/>
        <n v="0.5161603807800001"/>
        <n v="0.551590770504"/>
        <n v="0.40527060231600004"/>
        <n v="0.56656097036"/>
        <n v="0.033011302358000004"/>
        <n v="0.251563572"/>
        <n v="0.304422533702"/>
        <n v="1.556379643728"/>
        <n v="1.68370403509"/>
        <n v="1.58093583868"/>
        <n v="1.60010287745"/>
        <n v="1.520436094114"/>
        <n v="1.5823534592250001"/>
        <n v="1.5103172744800002"/>
        <n v="1.267875345"/>
        <n v="1.3344971949720001"/>
        <n v="0.06944495628000001"/>
        <n v="1.35453985812"/>
        <n v="0.9651163449"/>
        <n v="0.8100674567039998"/>
        <n v="0.4930508430100001"/>
        <n v="0.6765650187760001"/>
        <n v="0.64588575807"/>
        <n v="0.6087927530670001"/>
        <n v="0.6754895"/>
        <n v="0.713736603372"/>
        <n v="0.63704056557"/>
        <n v="0.68533411605"/>
        <n v="0.5557452921860001"/>
        <n v="0.6914934954399999"/>
        <n v="0.5957526223440001"/>
        <n v="0.457804962"/>
        <n v="0.6148056146680001"/>
        <n v="0.70054110093"/>
        <n v="0.77624778286"/>
        <n v="0.49523871283000004"/>
        <n v="0.55858359375"/>
        <n v="0.374574534488"/>
        <n v="0.49407844415999996"/>
        <n v="0.503642546172"/>
        <n v="0.5704697693749999"/>
        <n v="0.350125070025"/>
        <n v="1.071271472733"/>
        <n v="0.5934473877199999"/>
        <n v="1.3964390299199998"/>
        <n v="1.2386316151999999"/>
        <n v="0.92274104517"/>
        <n v="0.89034342639"/>
        <n v="0.7904167259400001"/>
        <n v="0.9292574119499999"/>
        <n v="0.834434809272"/>
        <n v="1.1241333234600002"/>
        <n v="0.9814549747199999"/>
        <n v="1.036129584"/>
        <n v="0.358288471164"/>
        <n v="0.8400711211749999"/>
        <n v="0.10189528632"/>
        <n v="0.6644201353400001"/>
        <n v="0.7124671758600001"/>
        <n v="1.0120566848"/>
        <n v="0.900043939416"/>
        <n v="0.7790322924"/>
        <n v="0.803339768704"/>
        <n v="0.831337657312"/>
        <n v="0.193350945918"/>
        <n v="0.898433381274"/>
        <n v="0.8070531724110002"/>
        <n v="0.785727247928"/>
        <n v="0.553033900239"/>
        <n v="0.810739913921"/>
        <n v="0.691408719183"/>
        <n v="0.977426694"/>
        <n v="0.8815239376320001"/>
        <n v="0.8387296133040001"/>
        <n v="0.708876495"/>
        <n v="0.606446348508"/>
        <n v="0.514338453"/>
        <n v="0.41635199999999994"/>
        <n v="0.62797165056"/>
        <n v="0.56234447529"/>
        <n v="0.6144600927960001"/>
        <n v="0.44258214119999995"/>
        <n v="0.49958350873900004"/>
        <n v="0.41056299904"/>
        <n v="1.5142224051520001"/>
        <n v="1.4413107952320001"/>
        <n v="1.2548358719400001"/>
        <n v="0.83375338189"/>
        <n v="0.8990783827500001"/>
        <n v="0.9554077216320002"/>
        <n v="0.72873931032"/>
        <n v="1.45163380936"/>
        <n v="1.2817917508639998"/>
        <n v="0.9800950095079998"/>
        <n v="1.019137650636"/>
        <n v="1.0583650679599999"/>
        <n v="1.0502748868560001"/>
        <n v="0.767404567908"/>
        <n v="0.41751930387"/>
        <n v="1.5434248725"/>
        <n v="0.88424236446"/>
        <n v="0.49363095539999996"/>
        <n v="0.248664303168"/>
        <n v="0.6377050620000001"/>
        <n v="0.514931320566"/>
        <n v="0.154736644452"/>
        <n v="0.5474265310800001"/>
        <n v="0.580214347947"/>
        <n v="0.5868458712"/>
        <n v="0.71949443832"/>
        <n v="0.6037137315"/>
        <n v="0.44171974802999997"/>
        <n v="0.59768339083"/>
        <n v="0.0429121875"/>
        <n v="0.57781279292"/>
        <n v="0.5524291718400001"/>
        <n v="0.5814085767839999"/>
        <n v="0.5654683905750001"/>
        <n v="0.30053339343999996"/>
        <n v="1.241581245436"/>
        <n v="0.7217594539200001"/>
        <n v="1.129371377808"/>
        <n v="1.2429318632239998"/>
        <n v="1.296923426087"/>
        <n v="1.3043229204389999"/>
        <n v="1.0705709436080002"/>
        <n v="0.9231374004270001"/>
        <n v="1.13328041211"/>
        <n v="1.089412963422"/>
        <n v="1.1079932500000003"/>
        <n v="1.0260030410759997"/>
        <n v="0.9974549687700002"/>
        <n v="0.8627194102800001"/>
        <n v="0.65319200118"/>
        <n v="0.856760231349"/>
        <n v="0.887597459772"/>
        <n v="0.8545217335199999"/>
        <n v="0.536794938652"/>
        <n v="1.7388"/>
        <n v="1.9271970070079998"/>
        <n v="1.893183373904"/>
        <n v="1.9161879316920003"/>
        <n v="1.779823846888"/>
        <n v="3.266011825875"/>
        <n v="1.873319534268"/>
        <n v="1.9148118412500001"/>
        <n v="1.9382351385599998"/>
        <n v="1.9746764793000005"/>
        <n v="0.274314784848"/>
        <n v="1.8478401095700001"/>
        <n v="2.02566552192"/>
        <n v="1.9817544123900002"/>
      </sharedItems>
    </cacheField>
    <cacheField name="3.099" numFmtId="166">
      <sharedItems containsSemiMixedTypes="0" containsString="0" containsNumber="1">
        <n v="3.3"/>
        <n v="3.4375"/>
        <n v="3.085714286"/>
        <n v="3.76056338"/>
        <n v="4.2"/>
        <n v="4.115853659"/>
        <n v="3.59375"/>
        <n v="3.6"/>
        <n v="2.916666667"/>
        <n v="1.892307692"/>
        <n v="2.926829268"/>
        <n v="1.543859649"/>
        <n v="0.678571429"/>
        <n v="0.0"/>
        <n v="3.365384615"/>
        <n v="2.765625"/>
        <n v="4.06875"/>
        <n v="4.153846154"/>
        <n v="3.2"/>
        <n v="3.525"/>
        <n v="3.8"/>
        <n v="3.621428571"/>
        <n v="3.725806452"/>
        <n v="2.853658537"/>
        <n v="3.081081081"/>
        <n v="2.926229508"/>
        <n v="2.482758621"/>
        <n v="2.948275862"/>
        <n v="2.378571429"/>
        <n v="2.121428571"/>
        <n v="2.792307692"/>
        <n v="2.313559322"/>
        <n v="1.810344828"/>
        <n v="1.933333333"/>
        <n v="2.524390244"/>
        <n v="2.323170732"/>
        <n v="3.485294118"/>
        <n v="2.60625"/>
        <n v="2.481481481"/>
        <n v="2.030487805"/>
        <n v="1.5"/>
        <n v="1.315068493"/>
        <n v="2.112244898"/>
        <n v="1.81875"/>
        <n v="1.653846154"/>
        <n v="1.21875"/>
        <n v="0.925531915"/>
        <n v="1.152439024"/>
        <n v="1.445121951"/>
        <n v="1.638157895"/>
        <n v="2.08125"/>
        <n v="1.792207792"/>
        <n v="1.865384615"/>
        <n v="1.074074074"/>
        <n v="1.0"/>
        <n v="0.993506494"/>
        <n v="1.12962963"/>
        <n v="1.296296296"/>
        <n v="0.780821918"/>
        <n v="1.016129032"/>
        <n v="1.075471698"/>
        <n v="1.36875"/>
        <n v="0.75974026"/>
        <n v="1.04"/>
        <n v="0.833333333"/>
        <n v="0.837662338"/>
        <n v="0.264705882"/>
        <n v="1.536585366"/>
        <n v="2.166666667"/>
        <n v="2.5"/>
        <n v="2.653846154"/>
        <n v="2.221518987"/>
        <n v="1.980769231"/>
        <n v="2.19375"/>
        <n v="2.3625"/>
        <n v="2.277777778"/>
        <n v="1.857142857"/>
        <n v="1.478873239"/>
        <n v="1.243243243"/>
        <n v="1.188311688"/>
        <n v="0.928571429"/>
        <n v="0.222222222"/>
        <n v="2.114754098"/>
        <n v="2.357142857"/>
        <n v="2.92"/>
        <n v="3.147058824"/>
        <n v="2.558823529"/>
        <n v="3.284810127"/>
        <n v="2.766233766"/>
        <n v="2.190789474"/>
        <n v="2.510204082"/>
        <n v="2.782608696"/>
        <n v="2.194444444"/>
        <n v="1.766129032"/>
        <n v="1.601351351"/>
        <n v="2.15"/>
        <n v="0.910447761"/>
        <n v="1.229166667"/>
        <n v="3.018292683"/>
        <n v="2.722222222"/>
        <n v="3.237804878"/>
        <n v="3.43902439"/>
        <n v="3.731707317"/>
        <n v="4.277777778"/>
        <n v="3.603658537"/>
        <n v="3.384146341"/>
        <n v="3.27"/>
        <n v="2.798780488"/>
        <n v="2.411392405"/>
        <n v="2.396341463"/>
        <n v="1.6625"/>
        <n v="1.756097561"/>
        <n v="1.714285714"/>
        <n v="1.314814815"/>
        <n v="0.948529412"/>
        <n v="1.81097561"/>
        <n v="2.955882353"/>
        <n v="2.8"/>
        <n v="3.075949367"/>
        <n v="3.896341463"/>
        <n v="3.182926829"/>
        <n v="3.241071429"/>
        <n v="2.721428571"/>
        <n v="2.743902439"/>
        <n v="2.4"/>
        <n v="2.770833333"/>
        <n v="2.354166667"/>
        <n v="2.25"/>
        <n v="2.680851064"/>
        <n v="2.46"/>
        <n v="1.397727273"/>
        <n v="1.819672131"/>
        <n v="3.125"/>
        <n v="3.685185185"/>
        <n v="3.462962963"/>
        <n v="3.331168831"/>
        <n v="2.833333333"/>
        <n v="2.611111111"/>
        <n v="2.49375"/>
        <n v="2.574074074"/>
        <n v="2.34375"/>
        <n v="2.269230769"/>
        <n v="2.335443038"/>
        <n v="1.75862069"/>
        <n v="2.867088608"/>
        <n v="3.240740741"/>
        <n v="2.254545455"/>
        <n v="2.963414634"/>
        <n v="3.42"/>
        <n v="3.0"/>
        <n v="3.233766234"/>
        <n v="3.201219512"/>
        <n v="3.35625"/>
        <n v="2.731343284"/>
        <n v="2.795454545"/>
        <n v="2.8125"/>
        <n v="2.38125"/>
        <n v="1.7"/>
        <n v="2.962962963"/>
        <n v="2.71875"/>
        <n v="2.5125"/>
        <n v="2.5625"/>
        <n v="2.467105263"/>
        <n v="3.919354839"/>
        <n v="1.875"/>
        <n v="2.012195122"/>
        <n v="1.914473684"/>
        <n v="1.594936709"/>
        <n v="1.646341463"/>
        <n v="1.993902439"/>
        <n v="2.87195122"/>
        <n v="4.426829268"/>
        <n v="4.81097561"/>
        <n v="3.980769231"/>
        <n v="4.280487805"/>
        <n v="4.463414634"/>
        <n v="3.640243902"/>
        <n v="3.548780488"/>
        <n v="2.56097561"/>
        <n v="3.036585366"/>
        <n v="2.0859375"/>
        <n v="2.43"/>
        <n v="2.615853659"/>
        <n v="2.414634146"/>
        <n v="2.780487805"/>
        <n v="2.506097561"/>
        <n v="3.823943662"/>
        <n v="3.392857143"/>
        <n v="3.321428571"/>
        <n v="3.696428571"/>
        <n v="2.908536585"/>
        <n v="2.736486486"/>
        <n v="2.557692308"/>
        <n v="3.269230769"/>
        <n v="3.164634146"/>
        <n v="2.981481481"/>
        <n v="2.333333333"/>
        <n v="2.746753247"/>
        <n v="2.596153846"/>
        <n v="2.290540541"/>
        <n v="1.9"/>
        <n v="2.074074074"/>
        <n v="2.176829268"/>
        <n v="1.847560976"/>
        <n v="2.491935484"/>
        <n v="1.425"/>
        <n v="1.481707317"/>
        <n v="1.10625"/>
        <n v="1.243421053"/>
        <n v="1.158227848"/>
        <n v="1.03125"/>
        <n v="1.196202532"/>
        <n v="1.272151899"/>
        <n v="0.942307692"/>
        <n v="0.9"/>
        <n v="0.77027027"/>
        <n v="1.944444444"/>
        <n v="1.902439024"/>
        <n v="2.140243902"/>
        <n v="2.7"/>
        <n v="2.213414634"/>
        <n v="1.62804878"/>
        <n v="2.0"/>
        <n v="2.268292683"/>
        <n v="2.286585366"/>
        <n v="2.359756098"/>
        <n v="2.067073171"/>
        <n v="1.777777778"/>
        <n v="1.897959184"/>
        <n v="1.722222222"/>
        <n v="2.85"/>
        <n v="2.518518519"/>
        <n v="1.785714286"/>
        <n v="1.6125"/>
        <n v="2.045454545"/>
        <n v="2.542682927"/>
        <n v="2.489361702"/>
        <n v="2.222222222"/>
        <n v="2.055555556"/>
        <n v="2.195121951"/>
        <n v="2.052631579"/>
        <n v="1.756578947"/>
        <n v="2.112676056"/>
        <n v="1.657894737"/>
        <n v="1.47826087"/>
        <n v="2.007042254"/>
        <n v="1.4"/>
        <n v="1.720588235"/>
        <n v="1.194444444"/>
        <n v="0.978723404"/>
        <n v="1.105263158"/>
        <n v="1.035211268"/>
        <n v="1.405063291"/>
        <n v="2.16"/>
        <n v="2.409090909"/>
        <n v="2.514705882"/>
        <n v="2.2125"/>
        <n v="3.31097561"/>
        <n v="2.584615385"/>
        <n v="1.954545455"/>
        <n v="2.75625"/>
        <n v="2.162337662"/>
        <n v="2.762195122"/>
        <n v="2.321917808"/>
        <n v="1.784482759"/>
        <n v="2.038461538"/>
        <n v="1.75"/>
        <n v="2.014285714"/>
        <n v="1.409090909"/>
        <n v="2.945121951"/>
        <n v="2.785714286"/>
        <n v="2.810126582"/>
        <n v="2.734177215"/>
        <n v="2.41875"/>
        <n v="2.12"/>
        <n v="2.46835443"/>
        <n v="3.31875"/>
        <n v="2.403846154"/>
        <n v="2.76"/>
        <n v="2.537037037"/>
        <n v="2.35443038"/>
        <n v="2.782258065"/>
        <n v="2.546052632"/>
        <n v="2.369565217"/>
        <n v="1.864864865"/>
        <n v="2.12195122"/>
        <n v="1.963636364"/>
        <n v="1.746268657"/>
        <n v="1.6"/>
        <n v="1.955357143"/>
        <n v="1.363636364"/>
        <n v="1.88028169"/>
        <n v="1.255813953"/>
        <n v="3.642857143"/>
        <n v="5.148648649"/>
        <n v="4.0"/>
        <n v="3.341772152"/>
        <n v="3.358208955"/>
        <n v="2.201298701"/>
        <n v="2.5875"/>
        <n v="2.375"/>
        <n v="2.688311688"/>
        <n v="2.506329114"/>
        <n v="1.936708861"/>
        <n v="3.585365854"/>
        <n v="3.083333333"/>
        <n v="4.317073171"/>
        <n v="4.737804878"/>
        <n v="4.333333333"/>
        <n v="4.152439024"/>
        <n v="4.079268293"/>
        <n v="3.4125"/>
        <n v="4.25"/>
        <n v="2.647058824"/>
        <n v="3.292682927"/>
        <n v="2.579268293"/>
        <n v="2.125"/>
        <n v="1.65"/>
        <n v="1.111111111"/>
        <n v="1.407407407"/>
        <n v="1.386075949"/>
        <n v="0.944444444"/>
        <n v="1.352941176"/>
        <n v="0.975"/>
        <n v="1.102040816"/>
        <n v="0.683544304"/>
        <n v="0.952702703"/>
        <n v="0.917910448"/>
        <n v="0.850746269"/>
        <n v="0.76119403"/>
        <n v="0.739726027"/>
        <n v="0.584745763"/>
        <n v="0.3"/>
        <n v="0.524590164"/>
        <n v="0.98"/>
        <n v="0.424528302"/>
        <n v="0.648648649"/>
        <n v="2.209459459"/>
        <n v="2.423076923"/>
        <n v="2.461538462"/>
        <n v="3.05625"/>
        <n v="3.208860759"/>
        <n v="2.696202532"/>
        <n v="2.352941176"/>
        <n v="1.833333333"/>
        <n v="1.9921875"/>
        <n v="1.392857143"/>
        <n v="1.094594595"/>
        <n v="1.006097561"/>
        <n v="1.35"/>
        <n v="1.337837838"/>
        <n v="1.280487805"/>
        <n v="1.115853659"/>
        <n v="1.018518519"/>
        <n v="1.347826087"/>
        <n v="1.022727273"/>
        <n v="1.3125"/>
        <n v="1.2375"/>
        <n v="1.076923077"/>
        <n v="0.76"/>
        <n v="0.865384615"/>
        <n v="0.986842105"/>
        <n v="0.982758621"/>
        <n v="1.086956522"/>
        <n v="0.871621622"/>
        <n v="1.227272727"/>
        <n v="1.155737705"/>
      </sharedItems>
    </cacheField>
    <cacheField name="0.2591">
      <sharedItems containsMixedTypes="1" containsNumber="1">
        <n v="0.28357367883900003"/>
        <n v="0.177217834990625"/>
        <n v="0.2466946803314135"/>
        <n v="0.3088521197485551"/>
        <n v="0.291492868422"/>
        <n v="0.3854690121013278"/>
        <n v="0.196999387609375"/>
        <n v="0.32481792"/>
        <n v="0.2631610453509089"/>
        <n v="0.3082694613440287"/>
        <n v="0.2966408509752139"/>
        <n v="0.21752424429427586"/>
        <n v="0.04761760717328857"/>
        <s v="No Stat"/>
        <n v="0.2657755745513564"/>
        <n v="0.179212455196875"/>
        <n v="0.32500048086449995"/>
        <n v="0.32354921482429094"/>
        <n v="0.145791963552"/>
        <n v="0.281567236878"/>
        <n v="0.215847853384"/>
        <n v="0.23689709841089343"/>
        <n v="0.21869415028788275"/>
        <n v="0.22150908511169728"/>
        <n v="0.2130780473603386"/>
        <n v="0.16898858055191812"/>
        <n v="0.13632083286669527"/>
        <n v="0.16401104814650833"/>
        <n v="0.15968978777234438"/>
        <n v="0.14242602687765565"/>
        <n v="0.17406365821081943"/>
        <n v="0.13630345480478254"/>
        <n v="0.10205131036815361"/>
        <n v="0.07734089737066537"/>
        <n v="0.23686744677403238"/>
        <n v="0.21545192076446062"/>
        <n v="0.26805962759626295"/>
        <n v="0.22785074061375"/>
        <n v="0.23555308582948087"/>
        <n v="0.20243151220727998"/>
        <n v="0.010677075840000001"/>
        <n v="0.11115708981082491"/>
        <n v="0.11985479551609156"/>
        <n v="0.179130778153125"/>
        <n v="0.149630741175"/>
        <n v="0.16086576866919505"/>
        <n v="0.09602887076249998"/>
        <n v="0.03266333938588207"/>
        <n v="0.0754552965037173"/>
        <n v="0.09583157676373598"/>
        <n v="0.10066856413676376"/>
        <n v="0.132930241695"/>
        <n v="0.11017859440021267"/>
        <n v="0.122369230744"/>
        <n v="0.07621627723696595"/>
        <n v="0.06833331625"/>
        <n v="0.06609728177543005"/>
        <n v="0.07906042699925478"/>
        <n v="0.09198516216786372"/>
        <n v="0.04924695471017793"/>
        <n v="0.05161195458140833"/>
        <n v="0.046089744618922034"/>
        <n v="0.0896932809495"/>
        <n v="0.04791927540333071"/>
        <n v="0.0630783881728"/>
        <n v="0.036862330351921734"/>
        <n v="0.05283407288382992"/>
        <n v="0.011204582962119378"/>
        <n v="0.11839100193029971"/>
        <n v="0.17266450658656377"/>
        <n v="0.19922827680000002"/>
        <n v="0.1966934101937102"/>
        <n v="0.17066224423817467"/>
        <n v="0.15198888236078437"/>
        <n v="0.16128256302843752"/>
        <n v="0.1859493563865"/>
        <n v="0.17940836089750326"/>
        <n v="0.07585434741273647"/>
        <n v="0.10210415343112257"/>
        <n v="0.17288517641590437"/>
        <n v="0.09218324698147014"/>
        <n v="0.05966050274753562"/>
        <n v="0.005973332580693333"/>
        <n v="0.13985004152041192"/>
        <n v="0.20724754284458238"/>
        <n v="0.260463934884"/>
        <n v="0.19092152092560785"/>
        <n v="0.15310872579889123"/>
        <n v="0.30441268976807856"/>
        <n v="0.2533500665111876"/>
        <n v="0.1953343175492089"/>
        <n v="0.13679501137695754"/>
        <n v="0.21079327153939262"/>
        <n v="0.13178975743969729"/>
        <n v="0.12178856406422053"/>
        <n v="0.13009868659665783"/>
        <n v="0.143461374204"/>
        <n v="0.13569026968481374"/>
        <n v="0.09972553465329421"/>
        <n v="0.19524842796052597"/>
        <n v="0.17393859376580093"/>
        <n v="0.20944831362214936"/>
        <n v="0.21496613557987615"/>
        <n v="0.25012340978655906"/>
        <n v="0.293832000015264"/>
        <n v="0.24448631932934992"/>
        <n v="0.22412714965375993"/>
        <n v="0.1320706120626"/>
        <n v="0.19709085104727714"/>
        <n v="0.16569601566571432"/>
        <n v="0.170914414453049"/>
        <n v="0.22843004911125003"/>
        <n v="0.12366484770903464"/>
        <n v="0.11941302855152641"/>
        <n v="0.10034664159413334"/>
        <n v="0.06078174952551882"/>
        <n v="0.13548316167288105"/>
        <n v="0.17712720449426017"/>
        <n v="0.189347709096"/>
        <n v="0.2216768414108295"/>
        <n v="0.2722746145759036"/>
        <n v="0.23812192046383085"/>
        <n v="0.1636394250101204"/>
        <n v="0.17176137129766528"/>
        <n v="0.20289051482746484"/>
        <n v="0.16728598137599995"/>
        <n v="0.18639236873924353"/>
        <n v="0.16430200002326398"/>
        <n v="0.165951261"/>
        <n v="0.11630296419291623"/>
        <n v="0.11355358580580001"/>
        <n v="0.06036483944132397"/>
        <n v="0.10438724835575651"/>
        <n v="0.11034489733416787"/>
        <n v="0.25955299525"/>
        <n v="0.328894178307917"/>
        <n v="0.353017829636005"/>
        <n v="0.3236054007545721"/>
        <n v="0.2858142618819428"/>
        <n v="0.26168928593921303"/>
        <n v="0.24400193317628363"/>
        <n v="0.21498645034125"/>
        <n v="0.24054091285085574"/>
        <n v="0.1282761547734375"/>
        <n v="0.20181165105139987"/>
        <n v="0.21035931567436894"/>
        <n v="0.1123747092799653"/>
        <n v="0.171677193979128"/>
        <n v="0.206422222238736"/>
        <n v="0.19025289017363023"/>
        <n v="0.18200443717076822"/>
        <n v="0.1280838697038"/>
        <n v="0.16007697869999998"/>
        <n v="0.2008317705503621"/>
        <n v="0.2117335437767285"/>
        <n v="0.21379399695375"/>
        <n v="0.14574172689841866"/>
        <n v="0.1547563636112"/>
        <n v="0.19657495085625004"/>
        <n v="0.16643345839162502"/>
        <n v="0.23440429565999996"/>
        <n v="0.20682610204702975"/>
        <n v="0.19002245249437502"/>
        <n v="0.173201359707"/>
        <n v="0.100476603490625"/>
        <n v="0.1512145465363749"/>
        <n v="0.14384298963388084"/>
        <n v="0.1238068656"/>
        <n v="0.14173901258209462"/>
        <n v="0.12357264395272705"/>
        <n v="0.10131584943162984"/>
        <n v="0.10630426826591"/>
        <n v="0.12277562385508353"/>
        <n v="0.17081320087218357"/>
        <n v="0.1970512866036166"/>
        <n v="0.2725844125810023"/>
        <n v="0.2767061555298818"/>
        <n v="0.23315885401813186"/>
        <n v="0.2605084806059585"/>
        <n v="0.27164132164084986"/>
        <n v="0.2215435368925495"/>
        <n v="0.21407585304052326"/>
        <n v="0.22378362776401156"/>
        <n v="0.16754926830864"/>
        <n v="0.1938201079527554"/>
        <n v="0.10143614803476562"/>
        <n v="0.0923122170324"/>
        <n v="0.17330595201362903"/>
        <n v="0.1620256356385507"/>
        <n v="0.18657497440623189"/>
        <n v="0.16603437357966466"/>
        <n v="0.25300880375351015"/>
        <n v="0.24486777177054703"/>
        <n v="0.269452277595902"/>
        <n v="0.1959587075371194"/>
        <n v="0.16290304051158"/>
        <n v="0.169313600669407"/>
        <n v="0.20950908455251882"/>
        <n v="0.22268904517603288"/>
        <n v="0.21941463391123323"/>
        <n v="0.14577622227250814"/>
        <n v="0.19218228604453733"/>
        <n v="0.18399098854678914"/>
        <n v="0.1487518549557165"/>
        <n v="0.10237729592700001"/>
        <n v="0.11882581958686733"/>
        <n v="0.068187267045"/>
        <n v="0.12341304776291884"/>
        <n v="0.09917396766338667"/>
        <n v="0.09902951613415999"/>
        <n v="0.07708905093"/>
        <n v="0.079535558204365"/>
        <n v="0.06051041890949999"/>
        <n v="0.06841918455290394"/>
        <n v="0.06326580709725337"/>
        <n v="0.05972613009"/>
        <n v="0.06841491821976477"/>
        <n v="0.0702782910511407"/>
        <n v="0.05259391440590341"/>
        <n v="0.052124622624"/>
        <n v="0.03854940100809552"/>
        <n v="0.1164121114845026"/>
        <n v="0.11799014574945542"/>
        <n v="0.13430058462318287"/>
        <n v="0.1543806513"/>
        <n v="0.13889205762106097"/>
        <n v="0.1009723362568193"/>
        <n v="0.12252278304"/>
        <n v="0.1406805584269771"/>
        <n v="0.1370348440331605"/>
        <n v="0.15164310916504195"/>
        <n v="0.168306146347968"/>
        <n v="0.13445457259598795"/>
        <n v="0.11150220829838221"/>
        <n v="0.07201398517973645"/>
        <n v="0.09756879063639894"/>
        <n v="0.11632681578054564"/>
        <n v="0.19011688743"/>
        <n v="0.1679590611284061"/>
        <n v="0.061757691795595517"/>
        <n v="0.1025937"/>
        <n v="0.12220047398193526"/>
        <n v="0.15790785483657854"/>
        <n v="0.08862126551354044"/>
        <n v="0.14495866487439302"/>
        <n v="0.13580578653158562"/>
        <n v="0.1174536532057928"/>
        <n v="0.1364959203799114"/>
        <n v="0.1449514198391634"/>
        <n v="0.1539544975507968"/>
        <n v="0.13782733396774458"/>
        <n v="0.1179483915407881"/>
        <n v="0.13071961138753557"/>
        <n v="0.08234782781521105"/>
        <n v="0.09013447024651015"/>
        <n v="0.12418363086765795"/>
        <n v="0.06939925899199999"/>
        <n v="0.09542115856280635"/>
        <n v="0.05329765176933498"/>
        <n v="0.07600789872527823"/>
        <n v="0.03425294904642009"/>
        <n v="0.06393062404548129"/>
        <n v="0.0942436048467365"/>
        <n v="0.09170741710800001"/>
        <n v="0.14353548099912902"/>
        <n v="0.1563605136468782"/>
        <n v="0.16185966195899998"/>
        <n v="0.24510945438634862"/>
        <n v="0.15166917258872367"/>
        <n v="0.122664145483072"/>
        <n v="0.21844194538950001"/>
        <n v="0.1649430756215808"/>
        <n v="0.2212903413434202"/>
        <n v="0.1758598738946091"/>
        <n v="0.1678900949979191"/>
        <n v="0.14508439599710096"/>
        <n v="0.09586702985994652"/>
        <n v="0.14538932181900474"/>
        <n v="0.009730907165000002"/>
        <n v="0.06529423567645269"/>
        <n v="0.0850310330022414"/>
        <n v="0.24422955182899847"/>
        <n v="0.2871926750921309"/>
        <n v="0.2700714512505568"/>
        <n v="0.2669532623036717"/>
        <n v="0.2719612658727594"/>
        <n v="0.24364614487725003"/>
        <n v="0.302841393846546"/>
        <n v="0.2520112978437115"/>
        <n v="0.23608983245199552"/>
        <n v="0.010586373074999999"/>
        <n v="0.20019189111840005"/>
        <n v="0.20160333623700002"/>
        <n v="0.078405204402"/>
        <n v="0.15438527483067882"/>
        <n v="0.22140576"/>
        <n v="0.16027363081939563"/>
        <n v="0.16285252339984566"/>
        <n v="0.17734165404479998"/>
        <n v="0.17606057324409644"/>
        <n v="0.1628618013793795"/>
        <n v="0.15936326954321178"/>
        <n v="0.14010437112234986"/>
        <n v="0.15514466729230172"/>
        <n v="0.147408950408209"/>
        <n v="0.1327941013074185"/>
        <n v="0.12507787128794395"/>
        <n v="0.11208949695325757"/>
        <n v="0.14132523021834223"/>
        <n v="0.08887212225500325"/>
        <n v="0.09628374723802388"/>
        <n v="0.059257268096"/>
        <n v="0.09010286465801143"/>
        <n v="0.0642530269807705"/>
        <n v="0.11131267604799999"/>
        <n v="0.041180906478868934"/>
        <n v="0.31619392456454265"/>
        <n v="0.22428893497044095"/>
        <n v="0.38892431632"/>
        <n v="0.31432192357408184"/>
        <n v="0.2804776703544358"/>
        <n v="0.21129985759028905"/>
        <n v="0.20409339211202315"/>
        <n v="0.25504323987375"/>
        <n v="0.21316663264500002"/>
        <n v="0.24103342255452165"/>
        <n v="0.24683513706064442"/>
        <n v="0.1885183279525247"/>
        <n v="0.05165549999999999"/>
        <n v="0.30973518076998646"/>
        <n v="0.05647544983306121"/>
        <n v="0.3686097557709567"/>
        <n v="0.40929291740285917"/>
        <n v="0.34541712484009607"/>
        <n v="0.3587239082728728"/>
        <n v="0.34830498109408525"/>
        <n v="0.284288214790125"/>
        <n v="0.34518695517000003"/>
        <n v="0.04855792294392664"/>
        <n v="0.30222878050347596"/>
        <n v="0.22933354932428032"/>
        <n v="0.2254722366520469"/>
        <n v="0.14638304947625"/>
        <n v="0.209137236975"/>
        <n v="0.12255059005199997"/>
        <n v="0.07923100279207691"/>
        <n v="0.09697640778229825"/>
        <n v="0.09987766959316866"/>
        <n v="0.048268666643952005"/>
        <n v="0.06370572609078266"/>
        <n v="0.052727993408999994"/>
        <n v="0.0486661163512947"/>
        <n v="0.05174863543305445"/>
        <n v="0.06843042378108391"/>
        <n v="0.059695235665381215"/>
        <n v="0.05462696206980366"/>
        <n v="0.04887675552600158"/>
        <n v="0.05451011503921921"/>
        <n v="0.03627761806711322"/>
        <n v="0.012619996845"/>
        <n v="0.06637255989288673"/>
        <n v="0.076230546756"/>
        <n v="0.02366037144970566"/>
        <n v="0.024891038439428588"/>
        <n v="0.30551992362"/>
        <n v="0.21608868604506412"/>
        <n v="0.0732997257525"/>
        <n v="0.23377841769757846"/>
        <n v="0.2405734589251075"/>
        <n v="0.30635526404249996"/>
        <n v="0.31357968799099745"/>
        <n v="0.2669029884730605"/>
        <n v="0.15037307945227832"/>
        <n v="0.17520001459999998"/>
        <n v="0.00953052711"/>
        <n v="0.14663580166667228"/>
        <n v="0.161857908225"/>
        <n v="0.10308818053057314"/>
        <n v="0.10419840003859202"/>
        <n v="0.07589945613013734"/>
        <n v="0.06773622846841039"/>
        <n v="0.05541942164400001"/>
        <n v="0.08642365595101614"/>
        <n v="0.09284125839847616"/>
        <n v="0.08090452520170946"/>
        <n v="0.07202138587663906"/>
        <n v="0.08118895727653204"/>
        <n v="0.06206400001655041"/>
        <n v="0.10057247485687501"/>
        <n v="0.09482547629362502"/>
        <n v="0.07935120312566794"/>
        <n v="0.053850456518399994"/>
        <n v="0.06464998380876667"/>
        <n v="0.07085794024426244"/>
        <n v="0.051056469982847234"/>
        <n v="0.06631436885287197"/>
        <n v="0.05776880572048334"/>
        <n v="0.08464546138664443"/>
        <n v="0.06233158983048625"/>
      </sharedItems>
    </cacheField>
    <cacheField name="0.474" numFmtId="166">
      <sharedItems containsSemiMixedTypes="0" containsString="0" containsNumber="1">
        <n v="0.46875"/>
        <n v="0.21875"/>
        <n v="0.107142857"/>
        <n v="0.422535211"/>
        <n v="0.325"/>
        <n v="0.237804878"/>
        <n v="0.15625"/>
        <n v="0.18"/>
        <n v="0.208333333"/>
        <n v="0.2"/>
        <n v="0.219512195"/>
        <n v="0.105263158"/>
        <n v="0.071428571"/>
        <n v="0.0"/>
        <n v="0.115384615"/>
        <n v="0.0703125"/>
        <n v="0.075"/>
        <n v="0.192307692"/>
        <n v="0.266666667"/>
        <n v="0.09375"/>
        <n v="0.1"/>
        <n v="0.214285714"/>
        <n v="0.096774194"/>
        <n v="0.274390244"/>
        <n v="0.263513514"/>
        <n v="0.196721311"/>
        <n v="0.362068966"/>
        <n v="0.465517241"/>
        <n v="0.235714286"/>
        <n v="0.407142857"/>
        <n v="0.461538462"/>
        <n v="0.559322034"/>
        <n v="0.155172414"/>
        <n v="0.333333333"/>
        <n v="5.835365854"/>
        <n v="5.853658537"/>
        <n v="6.727941176"/>
        <n v="4.829268293"/>
        <n v="4.96875"/>
        <n v="4.851851852"/>
        <n v="4.957317073"/>
        <n v="1.5"/>
        <n v="3.945205479"/>
        <n v="3.642857143"/>
        <n v="3.43125"/>
        <n v="3.69375"/>
        <n v="2.692307692"/>
        <n v="2.6015625"/>
        <n v="0.861702128"/>
        <n v="1.243902439"/>
        <n v="1.847560976"/>
        <n v="1.519736842"/>
        <n v="1.5375"/>
        <n v="2.025974026"/>
        <n v="2.288461538"/>
        <n v="1.537037037"/>
        <n v="1.192307692"/>
        <n v="1.383116883"/>
        <n v="1.166666667"/>
        <n v="1.462962963"/>
        <n v="0.965753425"/>
        <n v="0.725806452"/>
        <n v="1.047169811"/>
        <n v="0.84375"/>
        <n v="0.642857143"/>
        <n v="1.04"/>
        <n v="1.055555556"/>
        <n v="0.876623377"/>
        <n v="0.529411765"/>
        <n v="1.152439024"/>
        <n v="1.611111111"/>
        <n v="1.0"/>
        <n v="0.942307692"/>
        <n v="0.96835443"/>
        <n v="0.903846154"/>
        <n v="0.975"/>
        <n v="0.88125"/>
        <n v="1.203703704"/>
        <n v="0.857142857"/>
        <n v="0.570422535"/>
        <n v="0.405405405"/>
        <n v="0.272727273"/>
        <n v="0.738095238"/>
        <n v="0.055555556"/>
        <n v="0.836065574"/>
        <n v="1.597402597"/>
        <n v="1.16"/>
        <n v="1.823529412"/>
        <n v="1.088235294"/>
        <n v="2.012658228"/>
        <n v="1.717105263"/>
        <n v="1.928571429"/>
        <n v="1.217391304"/>
        <n v="0.805555556"/>
        <n v="0.508064516"/>
        <n v="0.851351351"/>
        <n v="1.025"/>
        <n v="0.701492537"/>
        <n v="0.791666667"/>
        <n v="0.388888889"/>
        <n v="0.384146341"/>
        <n v="0.347560976"/>
        <n v="0.351851852"/>
        <n v="0.329268293"/>
        <n v="0.36"/>
        <n v="0.493670886"/>
        <n v="0.475609756"/>
        <n v="0.25"/>
        <n v="0.233766234"/>
        <n v="0.185185185"/>
        <n v="0.066176471"/>
        <n v="4.024390244"/>
        <n v="5.095588235"/>
        <n v="5.08"/>
        <n v="4.063291139"/>
        <n v="5.158536585"/>
        <n v="6.87804878"/>
        <n v="5.919642857"/>
        <n v="6.514285714"/>
        <n v="6.256097561"/>
        <n v="5.56875"/>
        <n v="5.041666667"/>
        <n v="4.3125"/>
        <n v="3.326923077"/>
        <n v="3.063829787"/>
        <n v="3.69"/>
        <n v="2.386363636"/>
        <n v="2.275862069"/>
        <n v="2.213114754"/>
        <n v="0.354166667"/>
        <n v="0.537037037"/>
        <n v="0.603658537"/>
        <n v="0.462962963"/>
        <n v="0.38961039"/>
        <n v="0.37037037"/>
        <n v="0.314814815"/>
        <n v="0.375"/>
        <n v="0.3125"/>
        <n v="0.288461538"/>
        <n v="0.341772152"/>
        <n v="0.455696203"/>
        <n v="0.481481481"/>
        <n v="0.363636364"/>
        <n v="0.57"/>
        <n v="0.626865672"/>
        <n v="0.448051948"/>
        <n v="0.365853659"/>
        <n v="0.313432836"/>
        <n v="0.204545455"/>
        <n v="0.54375"/>
        <n v="0.43125"/>
        <n v="0.722222222"/>
        <n v="0.65625"/>
        <n v="0.493421053"/>
        <n v="1.112903226"/>
        <n v="0.631578947"/>
        <n v="0.292682927"/>
        <n v="0.572368421"/>
        <n v="0.402439024"/>
        <n v="0.201219512"/>
        <n v="0.182926829"/>
        <n v="0.256097561"/>
        <n v="0.346153846"/>
        <n v="0.234375"/>
        <n v="0.39"/>
        <n v="0.43902439"/>
        <n v="2.683098592"/>
        <n v="2.803571429"/>
        <n v="2.857142857"/>
        <n v="2.067073171"/>
        <n v="1.966216216"/>
        <n v="1.923076923"/>
        <n v="2.68902439"/>
        <n v="2.611111111"/>
        <n v="2.729166667"/>
        <n v="2.707792208"/>
        <n v="2.096153846"/>
        <n v="1.662162162"/>
        <n v="2.35"/>
        <n v="5.240740741"/>
        <n v="4.892307692"/>
        <n v="6.182926829"/>
        <n v="4.774390244"/>
        <n v="4.475806452"/>
        <n v="5.925"/>
        <n v="5.12195122"/>
        <n v="4.275"/>
        <n v="4.085526316"/>
        <n v="3.227848101"/>
        <n v="2.68125"/>
        <n v="3.075949367"/>
        <n v="2.46835443"/>
        <n v="1.865384615"/>
        <n v="1.725"/>
        <n v="1.722972973"/>
        <n v="0.814814815"/>
        <n v="1.097560976"/>
        <n v="0.914634146"/>
        <n v="1.3125"/>
        <n v="1.445121951"/>
        <n v="0.944444444"/>
        <n v="1.554878049"/>
        <n v="2.304878049"/>
        <n v="1.024390244"/>
        <n v="0.87804878"/>
        <n v="1.296296296"/>
        <n v="1.298780488"/>
        <n v="1.148148148"/>
        <n v="1.10625"/>
        <n v="0.574074074"/>
        <n v="0.714285714"/>
        <n v="2.45625"/>
        <n v="3.175324675"/>
        <n v="2.743902439"/>
        <n v="2.64893617"/>
        <n v="2.333333333"/>
        <n v="2.685185185"/>
        <n v="2.359756098"/>
        <n v="3.256097561"/>
        <n v="2.048780488"/>
        <n v="2.111842105"/>
        <n v="2.486842105"/>
        <n v="1.88028169"/>
        <n v="1.789473684"/>
        <n v="1.239130435"/>
        <n v="1.204225352"/>
        <n v="1.525"/>
        <n v="1.367647059"/>
        <n v="1.111111111"/>
        <n v="0.361702128"/>
        <n v="0.394736842"/>
        <n v="0.485915493"/>
        <n v="0.759493671"/>
        <n v="1.409090909"/>
        <n v="0.948529412"/>
        <n v="1.225609756"/>
        <n v="0.646153846"/>
        <n v="1.204545455"/>
        <n v="0.5625"/>
        <n v="0.701298701"/>
        <n v="0.731707317"/>
        <n v="0.676829268"/>
        <n v="0.410958904"/>
        <n v="0.480769231"/>
        <n v="0.3"/>
        <n v="0.295454545"/>
        <n v="0.969512195"/>
        <n v="1.285714286"/>
        <n v="1.348101266"/>
        <n v="1.310126582"/>
        <n v="1.8375"/>
        <n v="0.932926829"/>
        <n v="1.418918919"/>
        <n v="1.125"/>
        <n v="1.25"/>
        <n v="1.22"/>
        <n v="1.45"/>
        <n v="1.1"/>
        <n v="1.101265823"/>
        <n v="1.253164557"/>
        <n v="1.057692308"/>
        <n v="1.62"/>
        <n v="1.722222222"/>
        <n v="0.949367089"/>
        <n v="1.209677419"/>
        <n v="1.322368421"/>
        <n v="0.506493506"/>
        <n v="1.065217391"/>
        <n v="0.967105263"/>
        <n v="0.891891892"/>
        <n v="0.9"/>
        <n v="0.805970149"/>
        <n v="0.833333333"/>
        <n v="1.580357143"/>
        <n v="0.872727273"/>
        <n v="0.802816901"/>
        <n v="0.802325581"/>
        <n v="0.798701299"/>
        <n v="1.094594595"/>
        <n v="0.653846154"/>
        <n v="0.892405063"/>
        <n v="1.097014925"/>
        <n v="0.487012987"/>
        <n v="0.675"/>
        <n v="0.270833333"/>
        <n v="0.428571429"/>
        <n v="0.64556962"/>
        <n v="0.32278481"/>
        <n v="0.609375"/>
        <n v="1.262195122"/>
        <n v="1.75"/>
        <n v="2.286585366"/>
        <n v="2.396341463"/>
        <n v="0.987804878"/>
        <n v="1.518292683"/>
        <n v="1.40625"/>
        <n v="1.173076923"/>
        <n v="1.147058824"/>
        <n v="0.768292683"/>
        <n v="0.804878049"/>
        <n v="0.823170732"/>
        <n v="0.65"/>
        <n v="0.713414634"/>
        <n v="0.085714286"/>
        <n v="5.296296296"/>
        <n v="4.277777778"/>
        <n v="3.64556962"/>
        <n v="3.194444444"/>
        <n v="4.323529412"/>
        <n v="3.6"/>
        <n v="2.510204082"/>
        <n v="4.537974684"/>
        <n v="4.135135135"/>
        <n v="3.067164179"/>
        <n v="3.559701493"/>
        <n v="3.71641791"/>
        <n v="3.51369863"/>
        <n v="2.644067797"/>
        <n v="2.0625"/>
        <n v="1.442622951"/>
        <n v="2.16"/>
        <n v="1.754716981"/>
        <n v="1.702702703"/>
        <n v="0.35625"/>
        <n v="0.230769231"/>
        <n v="0.269230769"/>
        <n v="0.284810127"/>
        <n v="0.235294118"/>
        <n v="0.543478261"/>
        <n v="0.6"/>
        <n v="0.19047619"/>
        <n v="0.5390625"/>
        <n v="0.535714286"/>
        <n v="0.567567568"/>
        <n v="0.730769231"/>
        <n v="3.768292683"/>
        <n v="3.78"/>
        <n v="3.344594595"/>
        <n v="3.512195122"/>
        <n v="3.713414634"/>
        <n v="4.388888889"/>
        <n v="4.02173913"/>
        <n v="3.954545455"/>
        <n v="3.0375"/>
        <n v="3.5625"/>
        <n v="2.923076923"/>
        <n v="2.52"/>
        <n v="2.25"/>
        <n v="2.881578947"/>
        <n v="3.97826087"/>
        <n v="2.817567568"/>
        <n v="2.941558442"/>
        <n v="1.918032787"/>
      </sharedItems>
    </cacheField>
    <cacheField name="0.0387">
      <sharedItems containsMixedTypes="1" containsNumber="1">
        <n v="0.0387007276921875"/>
        <n v="0.011051950000000001"/>
        <n v="0.007591153293807034"/>
        <n v="0.029791768257188222"/>
        <n v="0.019736498590250003"/>
        <n v="0.0205269365811552"/>
        <n v="0.007739459264062499"/>
        <n v="0.014500798187399999"/>
        <n v="0.01679751260437398"/>
        <n v="0.029748166475999996"/>
        <n v="0.02015737840514292"/>
        <n v="0.013157547632104916"/>
        <n v="0.004296325967793472"/>
        <s v="No Stat"/>
        <n v="0.008142910757856963"/>
        <n v="0.004160053307812499"/>
        <n v="0.0054278281395"/>
        <n v="0.013288785826814864"/>
        <n v="0.010413712997017141"/>
        <n v="0.006507856329375"/>
        <n v="0.005002665684"/>
        <n v="0.012505879879754066"/>
        <n v="0.005428577649849491"/>
        <n v="0.01993079838452553"/>
        <n v="0.0165836432738592"/>
        <n v="0.010857004002614698"/>
        <n v="0.01860310878825242"/>
        <n v="0.022961544808876803"/>
        <n v="0.014317957411283671"/>
        <n v="0.02473101730810817"/>
        <n v="0.02713845332713845"/>
        <n v="0.029855887083394445"/>
        <n v="0.007503771355522271"/>
        <n v="0.01301714121698286"/>
        <n v="0.5323317175606622"/>
        <n v="0.5138497189827392"/>
        <n v="0.47198350670963396"/>
        <n v="0.4320783181337347"/>
        <n v="0.4336954017140625"/>
        <n v="0.42882156482457534"/>
        <n v="0.45223164716466885"/>
        <n v="0.01042285584"/>
        <n v="0.3203939418635622"/>
        <n v="0.202572000007944"/>
        <n v="0.29949531514593747"/>
        <n v="0.31632445457625"/>
        <n v="0.22914022029304335"/>
        <n v="0.18892755"/>
        <n v="0.029802485118156804"/>
        <n v="0.07217695544346281"/>
        <n v="0.10518132030611896"/>
        <n v="0.0817174131857215"/>
        <n v="0.09050832000000002"/>
        <n v="0.11254243778793636"/>
        <n v="0.13403844475662086"/>
        <n v="0.09746512407431811"/>
        <n v="0.07438961349041805"/>
        <n v="0.08337072903600655"/>
        <n v="0.07243835405069668"/>
        <n v="0.08898157618114161"/>
        <n v="0.052934318255209396"/>
        <n v="0.032468304835058366"/>
        <n v="0.0400371952309439"/>
        <n v="0.05283955842750001"/>
        <n v="0.037942510849145954"/>
        <n v="0.057401344"/>
        <n v="0.04462258694545513"/>
        <n v="0.051739787532293885"/>
        <n v="0.019869458834568"/>
        <n v="0.08231871948431999"/>
        <n v="0.12011474271171624"/>
        <n v="0.07455397824"/>
        <n v="0.06764419444406594"/>
        <n v="0.06785383947794761"/>
        <n v="0.06368165015814713"/>
        <n v="0.07179386444100001"/>
        <n v="0.0674353102831875"/>
        <n v="0.0897408997554234"/>
        <n v="0.03193309660610638"/>
        <n v="0.037994525982758945"/>
        <n v="0.05628523500857963"/>
        <n v="0.01969887973151706"/>
        <n v="0.04629332754069333"/>
        <n v="0.0014634666783744001"/>
        <n v="0.04995933446256679"/>
        <n v="0.12540065219683652"/>
        <n v="0.09246431235599999"/>
        <n v="0.10100764739538617"/>
        <n v="0.058996227390680854"/>
        <n v="0.16547074349236177"/>
        <n v="0.1330511111759233"/>
        <n v="0.09256233477985512"/>
        <n v="0.08227653965475328"/>
        <n v="0.04623407582467512"/>
        <n v="0.03278456581030279"/>
        <n v="0.06294142700105121"/>
        <n v="0.06536270356199998"/>
        <n v="0.09783251547061594"/>
        <n v="0.056950600023979205"/>
        <n v="0.01680097001207124"/>
        <n v="0.02266473132647564"/>
        <n v="0.02397368493784766"/>
        <n v="0.021690476899049346"/>
        <n v="0.014840852595431334"/>
        <n v="0.02211450546931137"/>
        <n v="0.015749475380001047"/>
        <n v="0.020951789304931894"/>
        <n v="0.014249088000000002"/>
        <n v="0.02054887284844634"/>
        <n v="0.029121744950962772"/>
        <n v="0.02968170519086267"/>
        <n v="0.0316596"/>
        <n v="0.02211577760318541"/>
        <n v="0.014538922130383079"/>
        <n v="0.012629783387370216"/>
        <n v="0.0038718404883561573"/>
        <n v="0.28166485557756"/>
        <n v="0.29574415880616495"/>
        <n v="0.3133418450448"/>
        <n v="0.2688815093685153"/>
        <n v="0.3610431330241502"/>
        <n v="0.5002687108796419"/>
        <n v="0.28290090967138715"/>
        <n v="0.37501446695040913"/>
        <n v="0.44628109382808134"/>
        <n v="0.387533568472875"/>
        <n v="0.31577895182421134"/>
        <n v="0.275404651785"/>
        <n v="0.2395384316016923"/>
        <n v="0.12770520644471284"/>
        <n v="0.16692379200000002"/>
        <n v="0.09133530814744589"/>
        <n v="0.11265949063618974"/>
        <n v="0.11742786045953509"/>
        <n v="0.02701006078917123"/>
        <n v="0.04443444444138"/>
        <n v="0.05342447535962244"/>
        <n v="0.040473803225460125"/>
        <n v="0.0323773654609488"/>
        <n v="0.031201621702131706"/>
        <n v="0.027012509339223046"/>
        <n v="0.03237962958"/>
        <n v="0.03196635539012618"/>
        <n v="0.0161891544125"/>
        <n v="0.023399584560637586"/>
        <n v="0.029698946280825003"/>
        <n v="0.009899521852509708"/>
        <n v="0.025406113109149815"/>
        <n v="0.02806262336304849"/>
        <n v="0.029955320960864416"/>
        <n v="0.028065073391072334"/>
        <n v="0.020920368"/>
        <n v="0.02964302889843141"/>
        <n v="0.023888444224243313"/>
        <n v="0.021173356863404956"/>
        <n v="0.027520500000000003"/>
        <n v="0.0151121304905758"/>
        <n v="0.010110388369058436"/>
        <n v="0.033961457775375"/>
        <n v="0.027520493119875"/>
        <n v="0.04060147703625001"/>
        <n v="0.04472482757957185"/>
        <n v="0.039314995085625005"/>
        <n v="0.032575281642375"/>
        <n v="0.010791664546875"/>
        <n v="0.026981418868830338"/>
        <n v="0.04410315751831527"/>
        <n v="0.045030758980047846"/>
        <n v="0.024612055571430206"/>
        <n v="0.04359156960230736"/>
        <n v="0.023342363255017522"/>
        <n v="0.028533079016112045"/>
        <n v="0.011591461285345162"/>
        <n v="0.010537692072349598"/>
        <n v="0.014216304092085639"/>
        <n v="0.01654807529940914"/>
        <n v="0.014752768924331855"/>
        <n v="0.01971148933200857"/>
        <n v="0.016860307350322984"/>
        <n v="0.02233990640662974"/>
        <n v="0.02255470755498627"/>
        <n v="0.023628741253672647"/>
        <n v="0.016426395631450253"/>
        <n v="0.01709686198046913"/>
        <n v="0.01095036549609375"/>
        <n v="0.014519232000000002"/>
        <n v="0.01611050542158184"/>
        <n v="0.02212915335769476"/>
        <n v="0.025776808651045403"/>
        <n v="0.0178719219616448"/>
        <n v="0.29332586841293157"/>
        <n v="0.24674566074414764"/>
        <n v="0.245745401873427"/>
        <n v="0.1497338873936418"/>
        <n v="0.12852420367485323"/>
        <n v="0.12514244566807123"/>
        <n v="0.1785051180565225"/>
        <n v="0.18743620213592582"/>
        <n v="0.17644147517249184"/>
        <n v="0.15807333335263998"/>
        <n v="0.1772429196408741"/>
        <n v="0.13897898477826126"/>
        <n v="0.1045493951622325"/>
        <n v="0.115496966079"/>
        <n v="0.3242032743315939"/>
        <n v="0.26549538406884066"/>
        <n v="0.41360399117522345"/>
        <n v="0.2755440491807525"/>
        <n v="0.19530660301931071"/>
        <n v="0.315087099858"/>
        <n v="0.2844481051587976"/>
        <n v="0.23163084208800006"/>
        <n v="0.20641894000695252"/>
        <n v="0.16345822783464"/>
        <n v="0.145277238678"/>
        <n v="0.164583058907664"/>
        <n v="0.13207282503284568"/>
        <n v="0.0949650519034965"/>
        <n v="0.091734218946"/>
        <n v="0.08636452641216556"/>
        <n v="0.04724820021221971"/>
        <n v="0.06208923505622251"/>
        <n v="0.05269918509008173"/>
        <n v="0.07516416705"/>
        <n v="0.05579912818648539"/>
        <n v="0.08483576598028429"/>
        <n v="0.052773504348498736"/>
        <n v="0.09303432732654889"/>
        <n v="0.1379097087365489"/>
        <n v="0.06249502359814702"/>
        <n v="0.0557535818500014"/>
        <n v="0.07811530780436729"/>
        <n v="0.031871999994688004"/>
        <n v="0.07771102635582124"/>
        <n v="0.06657700936622424"/>
        <n v="0.06457095692625"/>
        <n v="0.035285807402854405"/>
        <n v="0.022321564233928514"/>
        <n v="0.14299803073462497"/>
        <n v="0.18518491189788314"/>
        <n v="0.16372163211439836"/>
        <n v="0.09241608509896"/>
        <n v="0.1348881954740636"/>
        <n v="0.1522996832191262"/>
        <n v="0.14361664392915843"/>
        <n v="0.19428300344560165"/>
        <n v="0.1272351060589469"/>
        <n v="0.12671767708184123"/>
        <n v="0.15246284516334005"/>
        <n v="0.10540775942273808"/>
        <n v="0.07885318041493368"/>
        <n v="0.06476048881070932"/>
        <n v="0.06475290940485674"/>
        <n v="0.066578496726"/>
        <n v="0.06766794519431958"/>
        <n v="0.047381545895261855"/>
        <n v="0.02628550398878185"/>
        <n v="0.0111322105233472"/>
        <n v="0.029293758916279677"/>
        <n v="0.048944740951645506"/>
        <n v="0.06241200000000001"/>
        <n v="0.07440216251292713"/>
        <n v="0.05063215292667757"/>
        <n v="0.04200807392250001"/>
        <n v="0.08362384389578242"/>
        <n v="0.034261857515227034"/>
        <n v="0.06749583574433377"/>
        <n v="0.039837434715"/>
        <n v="0.04884330792646909"/>
        <n v="0.053111348687371794"/>
        <n v="0.048104525918466326"/>
        <n v="0.02547005551786552"/>
        <n v="0.015283064283216725"/>
        <n v="0.022025715736708296"/>
        <n v="0.030592000038722623"/>
        <n v="0.0013285102350000001"/>
        <n v="0.009100002599999999"/>
        <n v="0.016224472702312"/>
        <n v="0.09364977615358601"/>
        <n v="0.11131954521547523"/>
        <n v="0.11445332927114835"/>
        <n v="0.11872727849662"/>
        <n v="0.1219139788092758"/>
        <n v="0.17316326352150002"/>
        <n v="0.09011582232188924"/>
        <n v="0.11918921047978377"/>
        <n v="0.09885166313624999"/>
        <n v="0.008835850950000002"/>
        <n v="0.1120045897638"/>
        <n v="0.10248055026200002"/>
        <n v="0.056190410034"/>
        <n v="0.06223921340089587"/>
        <n v="0.058076564169"/>
        <n v="0.07685149296650606"/>
        <n v="0.06542423115460942"/>
        <n v="0.0943101671148"/>
        <n v="0.10602864139131889"/>
        <n v="0.08599104187674128"/>
        <n v="0.055844477671816564"/>
        <n v="0.05364894580281136"/>
        <n v="0.07188911900299401"/>
        <n v="0.03027062907907697"/>
        <n v="0.05586179130686556"/>
        <n v="0.0536271473596656"/>
        <n v="0.051231772837831535"/>
        <n v="0.08094435240740455"/>
        <n v="0.036116640000000005"/>
        <n v="0.040206391550028996"/>
        <n v="0.02792380602216381"/>
        <n v="0.06869104298335221"/>
        <n v="0.037257644407279376"/>
        <n v="0.040770497356017676"/>
        <n v="0.025683584816762924"/>
        <n v="0.07172399481305737"/>
        <n v="0.04723362564127773"/>
        <n v="0.058374413883350545"/>
        <n v="0.0778177214936"/>
        <n v="0.08571621096039708"/>
        <n v="0.043734143161171427"/>
        <n v="0.027989439932010564"/>
        <n v="0.060686192655000006"/>
        <n v="0.02232027695315389"/>
        <n v="0.038486046021343194"/>
        <n v="0.06181264606183569"/>
        <n v="0.029740058904792928"/>
        <n v="0.023633230651874997"/>
        <n v="0.1020101553193083"/>
        <n v="0.03104566703"/>
        <n v="0.17808096307542157"/>
        <n v="0.1900848983274149"/>
        <n v="0.0961000904977295"/>
        <n v="0.08296474697041518"/>
        <n v="0.12270786799396242"/>
        <n v="0.106856609990625"/>
        <n v="0.09191869165320334"/>
        <n v="0.019591763314508234"/>
        <n v="0.06452813654187725"/>
        <n v="0.07036013059699402"/>
        <n v="0.06913728917000898"/>
        <n v="0.039178997201500004"/>
        <n v="0.06111737559721921"/>
        <n v="0.006874210702056892"/>
        <n v="0.36435256654702414"/>
        <n v="0.294284765319732"/>
        <n v="0.2445896611880779"/>
        <n v="0.149389730983382"/>
        <n v="0.1987340928161096"/>
        <n v="0.187053139728"/>
        <n v="0.10863360001589761"/>
        <n v="0.30446317205145984"/>
        <n v="0.2549865309192347"/>
        <n v="0.17453578546062193"/>
        <n v="0.2106659821169344"/>
        <n v="0.2156279822014834"/>
        <n v="0.23118126267845285"/>
        <n v="0.146587074166019"/>
        <n v="0.079217914978125"/>
        <n v="0.1653724227865732"/>
        <n v="0.149058042588"/>
        <n v="0.08382532644274718"/>
        <n v="0.056782695614779305"/>
        <n v="0.0327342816225"/>
        <n v="0.034457138515542864"/>
        <n v="0.01324235035324235"/>
        <n v="0.019863525529863525"/>
        <n v="0.025146375323445967"/>
        <n v="0.028140008039999997"/>
        <n v="0.025327594973856005"/>
        <n v="0.030536807308277944"/>
        <n v="0.014071376590518827"/>
        <n v="0.042213043488392"/>
        <n v="0.0034491424259999997"/>
        <n v="0.013783943820778235"/>
        <n v="0.041311902352500006"/>
        <n v="0.035923393369159146"/>
        <n v="0.046348226225312934"/>
        <n v="0.03273845745649231"/>
        <n v="0.24375381152192818"/>
        <n v="0.152070912"/>
        <n v="0.1914754541218578"/>
        <n v="0.2186149755191339"/>
        <n v="0.23558472049906953"/>
        <n v="0.2860361777850192"/>
        <n v="0.21890242927090012"/>
        <n v="0.21426854466962858"/>
        <n v="0.20799242622112502"/>
        <n v="0.249244828993125"/>
        <n v="0.1951420684148647"/>
        <n v="0.1584072452592"/>
        <n v="0.1440771248475"/>
        <n v="0.17981050381648422"/>
        <n v="0.10413271788364672"/>
        <n v="0.21653591656909996"/>
        <n v="0.17846347661576845"/>
        <n v="0.18984823608901766"/>
        <n v="0.0941339803335008"/>
      </sharedItems>
    </cacheField>
    <cacheField name="51.30%" numFmtId="10">
      <sharedItems containsSemiMixedTypes="0" containsString="0" containsNumber="1">
        <n v="0.535"/>
        <n v="0.508"/>
        <n v="0.496"/>
        <n v="0.518"/>
        <n v="0.489"/>
        <n v="0.5"/>
        <n v="0.478"/>
        <n v="0.532"/>
        <n v="0.543"/>
        <n v="0.538"/>
        <n v="0.567"/>
        <n v="0.45"/>
        <n v="0.465"/>
        <n v="0.493"/>
        <n v="0.454"/>
        <n v="0.464"/>
        <n v="0.461"/>
        <n v="0.472"/>
        <n v="0.448"/>
        <n v="0.467"/>
        <n v="0.415"/>
        <n v="0.445"/>
        <n v="0.446"/>
        <n v="0.48"/>
        <n v="0.452"/>
        <n v="0.439"/>
        <n v="0.436"/>
        <n v="0.443"/>
        <n v="0.579"/>
        <n v="0.546"/>
        <n v="0.537"/>
        <n v="0.576"/>
        <n v="0.599"/>
        <n v="0.584"/>
        <n v="0.578"/>
        <n v="0.581"/>
        <n v="0.594"/>
        <n v="0.58"/>
        <n v="0.596"/>
        <n v="0.575"/>
        <n v="0.614"/>
        <n v="0.604"/>
        <n v="0.56"/>
        <n v="0.61"/>
        <n v="0.555"/>
        <n v="0.544"/>
        <n v="0.597"/>
        <n v="0.615"/>
        <n v="0.569"/>
        <n v="0.577"/>
        <n v="0.602"/>
        <n v="0.589"/>
        <n v="0.559"/>
        <n v="0.564"/>
        <n v="0.568"/>
        <n v="0.562"/>
        <n v="0.531"/>
        <n v="0.491"/>
        <n v="0.601"/>
        <n v="0.561"/>
        <n v="0.605"/>
        <n v="0.585"/>
        <n v="0.612"/>
        <n v="0.603"/>
        <n v="0.529"/>
        <n v="0.469"/>
        <n v="0.524"/>
        <n v="0.514"/>
        <n v="0.536"/>
        <n v="0.534"/>
        <n v="0.528"/>
        <n v="0.556"/>
        <n v="0.552"/>
        <n v="0.57"/>
        <n v="0.53"/>
        <n v="0.519"/>
        <n v="0.517"/>
        <n v="0.583"/>
        <n v="0.549"/>
        <n v="0.574"/>
        <n v="0.571"/>
        <n v="0.588"/>
        <n v="0.495"/>
        <n v="0.51"/>
        <n v="0.476"/>
        <n v="0.526"/>
        <n v="0.554"/>
        <n v="0.545"/>
        <n v="0.522"/>
        <n v="0.507"/>
        <n v="0.52"/>
        <n v="0.458"/>
        <n v="0.541"/>
        <n v="0.553"/>
        <n v="0.565"/>
        <n v="0.563"/>
        <n v="0.558"/>
        <n v="0.484"/>
        <n v="0.487"/>
        <n v="0.525"/>
        <n v="0.521"/>
        <n v="0.501"/>
        <n v="0.505"/>
        <n v="0.488"/>
        <n v="0.471"/>
        <n v="0.468"/>
        <n v="0.494"/>
        <n v="0.502"/>
        <n v="0.527"/>
        <n v="0.498"/>
        <n v="0.485"/>
        <n v="0.506"/>
        <n v="0.516"/>
        <n v="0.55"/>
        <n v="0.523"/>
        <n v="0.572"/>
        <n v="0.573"/>
        <n v="0.59"/>
        <n v="0.557"/>
        <n v="0.533"/>
        <n v="0.479"/>
        <n v="0.463"/>
        <n v="0.441"/>
        <n v="0.486"/>
        <n v="0.459"/>
        <n v="0.513"/>
        <n v="0.512"/>
        <n v="0.509"/>
        <n v="0.548"/>
        <n v="0.566"/>
        <n v="0.645"/>
        <n v="0.624"/>
        <n v="0.607"/>
        <n v="0.608"/>
        <n v="0.651"/>
        <n v="0.642"/>
        <n v="0.656"/>
        <n v="0.628"/>
        <n v="0.591"/>
        <n v="0.547"/>
        <n v="0.593"/>
        <n v="0.606"/>
        <n v="0.639"/>
        <n v="0.616"/>
        <n v="0.619"/>
        <n v="0.511"/>
        <n v="0.504"/>
        <n v="0.592"/>
        <n v="0.626"/>
        <n v="0.6"/>
        <n v="0.582"/>
        <n v="0.551"/>
        <n v="0.477"/>
        <n v="0.64"/>
        <n v="0.649"/>
        <n v="0.621"/>
        <n v="0.63"/>
        <n v="0.637"/>
        <n v="0.625"/>
        <n v="0.622"/>
        <n v="0.623"/>
        <n v="0.54"/>
        <n v="0.587"/>
        <n v="0.586"/>
        <n v="0.659"/>
        <n v="0.595"/>
        <n v="0.638"/>
        <n v="0.669"/>
        <n v="0.675"/>
        <n v="0.641"/>
        <n v="0.655"/>
        <n v="0.689"/>
      </sharedItems>
    </cacheField>
    <cacheField name="27457" numFmtId="0">
      <sharedItems containsSemiMixedTypes="0" containsString="0" containsNumber="1" containsInteger="1">
        <n v="27457.0"/>
        <n v="14522.0"/>
        <n v="16960.0"/>
        <n v="22714.0"/>
        <n v="20790.0"/>
        <n v="31560.0"/>
        <n v="28591.0"/>
        <n v="23930.0"/>
        <n v="23447.0"/>
        <n v="26946.0"/>
        <n v="18822.0"/>
        <n v="18992.0"/>
        <n v="25192.0"/>
        <n v="26395.0"/>
        <n v="19711.0"/>
        <n v="30026.0"/>
        <n v="38387.0"/>
        <n v="36928.0"/>
        <n v="26394.0"/>
        <n v="33643.0"/>
        <n v="21791.0"/>
        <n v="41498.0"/>
        <n v="17707.0"/>
        <n v="32292.0"/>
        <n v="26710.0"/>
        <n v="29428.0"/>
        <n v="24529.0"/>
        <n v="26496.0"/>
        <n v="33953.0"/>
      </sharedItems>
    </cacheField>
    <cacheField name="3839" numFmtId="0">
      <sharedItems containsSemiMixedTypes="0" containsString="0" containsNumber="1" containsInteger="1">
        <n v="3839.0"/>
        <n v="21620.0"/>
        <n v="4786.0"/>
        <n v="5869.0"/>
        <n v="10497.0"/>
        <n v="11489.0"/>
        <n v="7650.0"/>
        <n v="5185.0"/>
        <n v="5603.0"/>
        <n v="13748.0"/>
        <n v="3478.0"/>
        <n v="9574.0"/>
        <n v="5366.0"/>
        <n v="8007.0"/>
        <n v="4051.0"/>
        <n v="10525.0"/>
        <n v="17440.0"/>
        <n v="14968.0"/>
        <n v="14973.0"/>
        <n v="7047.0"/>
        <n v="8974.0"/>
        <n v="11507.0"/>
        <n v="6559.0"/>
        <n v="6672.0"/>
        <n v="7804.0"/>
        <n v="13653.0"/>
        <n v="4689.0"/>
        <n v="15091.0"/>
        <n v="25597.0"/>
      </sharedItems>
    </cacheField>
    <cacheField name="6488" numFmtId="0">
      <sharedItems containsSemiMixedTypes="0" containsString="0" containsNumber="1" containsInteger="1">
        <n v="6488.0"/>
        <n v="4100.0"/>
        <n v="6955.0"/>
        <n v="12263.0"/>
        <n v="2441.0"/>
        <n v="3651.0"/>
        <n v="2846.0"/>
        <n v="5929.0"/>
        <n v="9629.0"/>
        <n v="3058.0"/>
        <n v="9061.0"/>
        <n v="13393.0"/>
        <n v="6238.0"/>
        <n v="6114.0"/>
        <n v="15806.0"/>
        <n v="5176.0"/>
        <n v="5660.0"/>
        <n v="5248.0"/>
        <n v="5522.0"/>
        <n v="6306.0"/>
        <n v="5695.0"/>
        <n v="11396.0"/>
        <n v="10141.0"/>
        <n v="5633.0"/>
        <n v="9887.0"/>
        <n v="3119.0"/>
        <n v="6361.0"/>
        <n v="4225.0"/>
        <n v="4893.0"/>
      </sharedItems>
    </cacheField>
    <cacheField name="185" numFmtId="0">
      <sharedItems containsSemiMixedTypes="0" containsString="0" containsNumber="1" containsInteger="1">
        <n v="185.0"/>
        <n v="0.0"/>
        <n v="210.0"/>
        <n v="2954.0"/>
        <n v="1281.0"/>
        <n v="672.0"/>
        <n v="932.0"/>
        <n v="305.0"/>
        <n v="3830.0"/>
        <n v="249.0"/>
        <n v="496.0"/>
        <n v="23.0"/>
        <n v="117.0"/>
        <n v="315.0"/>
        <n v="1941.0"/>
        <n v="3189.0"/>
        <n v="1145.0"/>
        <n v="2054.0"/>
        <n v="640.0"/>
        <n v="755.0"/>
        <n v="1134.0"/>
        <n v="374.0"/>
        <n v="893.0"/>
        <n v="4.0"/>
        <n v="2820.0"/>
        <n v="254.0"/>
        <n v="3020.0"/>
      </sharedItems>
    </cacheField>
    <cacheField name="2213" numFmtId="0">
      <sharedItems containsSemiMixedTypes="0" containsString="0" containsNumber="1" containsInteger="1">
        <n v="2213.0"/>
        <n v="0.0"/>
        <n v="2672.0"/>
        <n v="1388.0"/>
        <n v="1210.0"/>
        <n v="1470.0"/>
        <n v="1681.0"/>
        <n v="2578.0"/>
        <n v="2162.0"/>
        <n v="1861.0"/>
        <n v="2944.0"/>
        <n v="81.0"/>
        <n v="476.0"/>
        <n v="3265.0"/>
        <n v="2272.0"/>
        <n v="1160.0"/>
        <n v="2085.0"/>
        <n v="1905.0"/>
        <n v="1944.0"/>
        <n v="1556.0"/>
        <n v="2311.0"/>
        <n v="1724.0"/>
        <n v="2514.0"/>
        <n v="77.0"/>
        <n v="771.0"/>
        <n v="1516.0"/>
        <n v="1025.0"/>
      </sharedItems>
    </cacheField>
    <cacheField name="25.8055" numFmtId="0">
      <sharedItems containsSemiMixedTypes="0" containsString="0" containsNumber="1">
        <n v="25.8055"/>
        <n v="15.08"/>
        <n v="18.355"/>
        <n v="17.2468"/>
        <n v="21.0638"/>
        <n v="20.7359"/>
        <n v="24.9051"/>
        <n v="21.347"/>
        <n v="16.5703"/>
        <n v="21.7658"/>
        <n v="19.2257"/>
        <n v="12.4456"/>
        <n v="27.03"/>
        <n v="20.7835"/>
        <n v="13.1057"/>
        <n v="24.1561"/>
        <n v="24.6071"/>
        <n v="25.019"/>
        <n v="17.4911"/>
        <n v="24.9948"/>
        <n v="24.2932"/>
        <n v="27.0345"/>
        <n v="19.5442"/>
        <n v="30.1231"/>
        <n v="25.6827"/>
        <n v="23.2082"/>
        <n v="24.6523"/>
        <n v="19.0345"/>
        <n v="30.3694"/>
      </sharedItems>
    </cacheField>
    <cacheField name="3.6081" numFmtId="0">
      <sharedItems containsSemiMixedTypes="0" containsString="0" containsNumber="1">
        <n v="3.6081"/>
        <n v="22.4507"/>
        <n v="5.1797"/>
        <n v="4.4563"/>
        <n v="10.6353"/>
        <n v="7.5486"/>
        <n v="6.6638"/>
        <n v="4.6253"/>
        <n v="3.9597"/>
        <n v="11.105"/>
        <n v="3.5526"/>
        <n v="6.2739"/>
        <n v="5.7575"/>
        <n v="6.3047"/>
        <n v="2.6935"/>
        <n v="8.4674"/>
        <n v="11.1795"/>
        <n v="10.1409"/>
        <n v="9.9225"/>
        <n v="5.2355"/>
        <n v="10.0045"/>
        <n v="7.4964"/>
        <n v="7.2395"/>
        <n v="6.2239"/>
        <n v="7.5038"/>
        <n v="10.7674"/>
        <n v="4.7126"/>
        <n v="10.8412"/>
        <n v="22.8953"/>
      </sharedItems>
    </cacheField>
    <cacheField name="6.0977" numFmtId="0">
      <sharedItems containsSemiMixedTypes="0" containsString="0" containsNumber="1">
        <n v="6.0977"/>
        <n v="4.2575"/>
        <n v="7.5271"/>
        <n v="9.3113"/>
        <n v="2.4732"/>
        <n v="2.3988"/>
        <n v="2.4791"/>
        <n v="5.289"/>
        <n v="6.8049"/>
        <n v="2.4701"/>
        <n v="9.2554"/>
        <n v="8.7765"/>
        <n v="6.6931"/>
        <n v="4.8142"/>
        <n v="10.5093"/>
        <n v="4.1641"/>
        <n v="3.6282"/>
        <n v="3.5556"/>
        <n v="3.6594"/>
        <n v="4.685"/>
        <n v="6.3489"/>
        <n v="7.4241"/>
        <n v="11.1932"/>
        <n v="5.2547"/>
        <n v="9.5067"/>
        <n v="2.4598"/>
        <n v="6.393"/>
        <n v="3.0352"/>
        <n v="4.3766"/>
      </sharedItems>
    </cacheField>
    <cacheField name="0.1739" numFmtId="0">
      <sharedItems containsSemiMixedTypes="0" containsString="0" containsNumber="1">
        <n v="0.1739"/>
        <n v="0.0"/>
        <n v="0.1595"/>
        <n v="2.9929"/>
        <n v="0.8417"/>
        <n v="0.5854"/>
        <n v="0.8314"/>
        <n v="0.2155"/>
        <n v="3.0937"/>
        <n v="0.2543"/>
        <n v="0.325"/>
        <n v="0.0247"/>
        <n v="0.0921"/>
        <n v="0.2094"/>
        <n v="1.5615"/>
        <n v="2.0442"/>
        <n v="0.7757"/>
        <n v="1.3612"/>
        <n v="0.4755"/>
        <n v="0.7388"/>
        <n v="0.4128"/>
        <n v="0.833"/>
        <n v="0.0038"/>
        <n v="2.224"/>
        <n v="0.2553"/>
        <n v="2.1695"/>
      </sharedItems>
    </cacheField>
    <cacheField name="2.0799" numFmtId="0">
      <sharedItems containsSemiMixedTypes="0" containsString="0" containsNumber="1">
        <n v="2.0799"/>
        <n v="0.0"/>
        <n v="2.0289"/>
        <n v="1.4063"/>
        <n v="0.795"/>
        <n v="1.2805"/>
        <n v="1.4996"/>
        <n v="1.8219"/>
        <n v="1.7464"/>
        <n v="1.9009"/>
        <n v="1.9292"/>
        <n v="0.0869"/>
        <n v="0.3748"/>
        <n v="2.1709"/>
        <n v="1.8278"/>
        <n v="0.7436"/>
        <n v="1.4126"/>
        <n v="1.2624"/>
        <n v="1.4443"/>
        <n v="1.7347"/>
        <n v="1.5055"/>
        <n v="1.9029"/>
        <n v="2.3451"/>
        <n v="0.074"/>
        <n v="0.608"/>
        <n v="1.5236"/>
        <n v="0.7364"/>
      </sharedItems>
    </cacheField>
    <cacheField name="96.9" numFmtId="0">
      <sharedItems containsSemiMixedTypes="0" containsString="0" containsNumber="1">
        <n v="95.6"/>
        <n v="91.6"/>
        <n v="97.5"/>
        <n v="94.8"/>
        <n v="95.5"/>
        <n v="95.1"/>
        <n v="93.4"/>
        <n v="97.2"/>
        <n v="97.0"/>
        <n v="98.7"/>
        <n v="99.9"/>
        <n v="100.0"/>
        <n v="100.4"/>
        <n v="99.6"/>
        <n v="106.6"/>
        <n v="108.2"/>
        <n v="115.3"/>
        <n v="118.1"/>
        <n v="118.8"/>
        <n v="111.0"/>
        <n v="110.6"/>
        <n v="115.5"/>
        <n v="117.4"/>
        <n v="116.6"/>
        <n v="112.3"/>
        <n v="84.1"/>
        <n v="83.7"/>
        <n v="82.7"/>
        <n v="79.5"/>
        <n v="93.1"/>
        <n v="99.0"/>
        <n v="116.7"/>
        <n v="96.3"/>
        <n v="98.1"/>
        <n v="101.0"/>
        <n v="102.7"/>
        <n v="105.6"/>
        <n v="106.3"/>
        <n v="111.2"/>
        <n v="111.8"/>
        <n v="112.1"/>
        <n v="114.7"/>
        <n v="114.2"/>
        <n v="113.8"/>
        <n v="107.0"/>
        <n v="105.3"/>
        <n v="101.5"/>
        <n v="101.4"/>
        <n v="99.5"/>
        <n v="96.9"/>
        <n v="108.5"/>
        <n v="110.1"/>
        <n v="110.8"/>
        <n v="110.2"/>
        <n v="109.9"/>
        <n v="109.2"/>
        <n v="108.6"/>
        <n v="112.4"/>
        <n v="107.6"/>
        <n v="105.7"/>
        <n v="102.6"/>
        <n v="104.3"/>
        <n v="106.5"/>
        <n v="110.3"/>
        <n v="109.3"/>
        <n v="108.1"/>
      </sharedItems>
    </cacheField>
    <cacheField name="22" numFmtId="0">
      <sharedItems containsSemiMixedTypes="0" containsString="0" containsNumber="1">
        <n v="22.0"/>
        <n v="20.7"/>
        <n v="22.3"/>
        <n v="21.8"/>
        <n v="21.9"/>
        <n v="21.5"/>
        <n v="21.3"/>
        <n v="20.6"/>
        <n v="21.0"/>
        <n v="21.2"/>
        <n v="18.9"/>
        <n v="19.6"/>
        <n v="22.6"/>
        <n v="24.2"/>
        <n v="23.9"/>
        <n v="22.7"/>
        <n v="21.4"/>
        <n v="22.9"/>
        <n v="22.4"/>
        <n v="22.8"/>
        <n v="23.1"/>
        <n v="20.3"/>
        <n v="23.6"/>
        <n v="24.3"/>
        <n v="24.7"/>
        <n v="22.1"/>
        <n v="23.2"/>
        <n v="24.6"/>
        <n v="24.4"/>
        <n v="24.8"/>
        <n v="25.3"/>
        <n v="26.7"/>
        <n v="26.5"/>
        <n v="24.9"/>
        <n v="24.5"/>
        <n v="23.4"/>
        <n v="25.9"/>
        <n v="26.2"/>
        <n v="26.3"/>
        <n v="26.0"/>
        <n v="25.8"/>
        <n v="25.6"/>
        <n v="25.2"/>
        <n v="24.1"/>
        <n v="23.8"/>
        <n v="23.0"/>
        <n v="25.0"/>
        <n v="25.5"/>
      </sharedItems>
    </cacheField>
    <cacheField name="4.9" numFmtId="0">
      <sharedItems containsString="0" containsBlank="1" containsNumber="1">
        <n v="5.1"/>
        <n v="5.0"/>
        <n v="5.2"/>
        <n v="5.3"/>
        <n v="4.9"/>
        <n v="4.7"/>
        <n v="4.6"/>
        <n v="4.8"/>
        <m/>
        <n v="5.5"/>
        <n v="5.6"/>
        <n v="5.4"/>
        <n v="4.3"/>
        <n v="4.4"/>
      </sharedItems>
    </cacheField>
    <cacheField name="41.1" numFmtId="0">
      <sharedItems containsSemiMixedTypes="0" containsString="0" containsNumber="1">
        <n v="41.5"/>
        <n v="41.7"/>
        <n v="42.9"/>
        <n v="42.5"/>
        <n v="42.4"/>
        <n v="42.3"/>
        <n v="42.2"/>
        <n v="41.9"/>
        <n v="41.0"/>
        <n v="41.1"/>
        <n v="42.0"/>
        <n v="41.3"/>
        <n v="62.4"/>
        <n v="71.7"/>
        <n v="70.0"/>
        <n v="73.5"/>
        <n v="73.3"/>
        <n v="71.4"/>
        <n v="66.7"/>
        <n v="65.9"/>
        <n v="67.3"/>
        <n v="68.2"/>
        <n v="66.2"/>
        <n v="56.9"/>
        <n v="49.5"/>
        <n v="54.5"/>
        <n v="51.5"/>
        <n v="50.9"/>
        <n v="56.1"/>
        <n v="60.1"/>
        <n v="52.9"/>
        <n v="41.4"/>
        <n v="42.1"/>
        <n v="42.7"/>
        <n v="43.3"/>
        <n v="43.8"/>
        <n v="43.5"/>
        <n v="45.2"/>
        <n v="44.8"/>
        <n v="44.3"/>
        <n v="44.5"/>
        <n v="43.4"/>
        <n v="44.1"/>
        <n v="43.1"/>
        <n v="43.7"/>
        <n v="43.0"/>
        <n v="41.6"/>
        <n v="43.6"/>
        <n v="44.0"/>
        <n v="43.9"/>
        <n v="53.1"/>
        <n v="51.1"/>
        <n v="50.6"/>
        <n v="48.2"/>
        <n v="47.1"/>
        <n v="47.4"/>
        <n v="44.9"/>
      </sharedItems>
    </cacheField>
    <cacheField name="8.2" numFmtId="0">
      <sharedItems containsString="0" containsBlank="1" containsNumber="1">
        <n v="8.4"/>
        <n v="7.9"/>
        <n v="7.8"/>
        <n v="7.5"/>
        <n v="7.2"/>
        <n v="7.3"/>
        <m/>
        <n v="7.7"/>
        <n v="7.6"/>
        <n v="8.2"/>
        <n v="8.5"/>
        <n v="8.6"/>
        <n v="8.9"/>
        <n v="8.3"/>
        <n v="8.0"/>
        <n v="8.8"/>
        <n v="9.1"/>
        <n v="8.7"/>
        <n v="9.4"/>
        <n v="9.6"/>
        <n v="9.0"/>
      </sharedItems>
    </cacheField>
    <cacheField name="1.226" numFmtId="0">
      <sharedItems containsSemiMixedTypes="0" containsString="0" containsNumber="1">
        <n v="1.2427"/>
        <n v="1.2969"/>
        <n v="1.2185"/>
        <n v="1.2532"/>
        <n v="1.244"/>
        <n v="1.2492"/>
        <n v="1.2719"/>
        <n v="1.2222"/>
        <n v="1.2247"/>
        <n v="1.2036"/>
        <n v="1.1892"/>
        <n v="1.188"/>
        <n v="1.1833"/>
        <n v="1.1928"/>
        <n v="1.1144"/>
        <n v="1.098"/>
        <n v="1.0304"/>
        <n v="1.0059"/>
        <n v="1.0"/>
        <n v="1.0703"/>
        <n v="1.0741"/>
        <n v="1.0286"/>
        <n v="1.0119"/>
        <n v="1.0189"/>
        <n v="1.0579"/>
        <n v="1.4126"/>
        <n v="1.4194"/>
        <n v="1.4365"/>
        <n v="1.4943"/>
        <n v="1.276"/>
        <n v="1.2"/>
        <n v="1.018"/>
        <n v="1.2336"/>
        <n v="1.211"/>
        <n v="1.1762"/>
        <n v="1.1568"/>
        <n v="1.125"/>
        <n v="1.1176"/>
        <n v="1.0683"/>
        <n v="1.0626"/>
        <n v="1.0598"/>
        <n v="1.0357"/>
        <n v="1.0403"/>
        <n v="1.0439"/>
        <n v="1.1103"/>
        <n v="1.1282"/>
        <n v="1.1704"/>
        <n v="1.1716"/>
        <n v="1.194"/>
        <n v="1.226"/>
        <n v="1.0949"/>
        <n v="1.079"/>
        <n v="1.0722"/>
        <n v="1.078"/>
        <n v="1.081"/>
        <n v="1.0879"/>
        <n v="1.0939"/>
        <n v="1.0569"/>
        <n v="1.1041"/>
        <n v="1.1239"/>
        <n v="1.1579"/>
        <n v="1.139"/>
        <n v="1.1155"/>
        <n v="1.0771"/>
        <n v="1.0869"/>
        <n v="1.099"/>
      </sharedItems>
    </cacheField>
    <cacheField name="1.788321" numFmtId="0">
      <sharedItems containsSemiMixedTypes="0" containsString="0" containsNumber="1">
        <n v="1.771084"/>
        <n v="1.76259"/>
        <n v="1.713287"/>
        <n v="1.729412"/>
        <n v="1.733491"/>
        <n v="1.737589"/>
        <n v="1.741706"/>
        <n v="1.754177"/>
        <n v="1.792683"/>
        <n v="1.788321"/>
        <n v="1.75"/>
        <n v="1.779661"/>
        <n v="1.177885"/>
        <n v="1.025105"/>
        <n v="1.05"/>
        <n v="1.0"/>
        <n v="1.002729"/>
        <n v="1.029412"/>
        <n v="1.101949"/>
        <n v="1.115326"/>
        <n v="1.092125"/>
        <n v="1.077713"/>
        <n v="1.110272"/>
        <n v="1.29174"/>
        <n v="1.484848"/>
        <n v="1.348624"/>
        <n v="1.427184"/>
        <n v="1.444008"/>
        <n v="1.31016"/>
        <n v="1.222962"/>
        <n v="1.389414"/>
        <n v="1.775362"/>
        <n v="1.745843"/>
        <n v="1.721311"/>
        <n v="1.69746"/>
        <n v="1.678082"/>
        <n v="1.689655"/>
        <n v="1.626106"/>
        <n v="1.640625"/>
        <n v="1.659142"/>
        <n v="1.651685"/>
        <n v="1.693548"/>
        <n v="1.666667"/>
        <n v="1.705336"/>
        <n v="1.681922"/>
        <n v="1.709302"/>
        <n v="1.766827"/>
        <n v="1.68578"/>
        <n v="1.670455"/>
        <n v="1.67426"/>
        <n v="1.384181"/>
        <n v="1.438356"/>
        <n v="1.452569"/>
        <n v="1.524896"/>
        <n v="1.56051"/>
        <n v="1.550633"/>
        <n v="1.636971"/>
      </sharedItems>
    </cacheField>
    <cacheField name="1.170732">
      <sharedItems containsMixedTypes="1" containsNumber="1">
        <n v="1.142857"/>
        <n v="1.21519"/>
        <n v="1.230769"/>
        <n v="1.28"/>
        <n v="1.333333"/>
        <n v="1.315068"/>
        <s v="Infinity"/>
        <n v="1.246753"/>
        <n v="1.263158"/>
        <n v="1.170732"/>
        <n v="1.129412"/>
        <n v="1.116279"/>
        <n v="1.078652"/>
        <n v="1.156627"/>
        <n v="1.2"/>
        <n v="1.090909"/>
        <n v="1.054945"/>
        <n v="1.103448"/>
        <n v="1.021277"/>
        <n v="1.0"/>
        <n v="1.066667"/>
      </sharedItems>
    </cacheField>
    <cacheField name="1.142857">
      <sharedItems containsMixedTypes="1" containsNumber="1">
        <n v="1.098039"/>
        <n v="1.12"/>
        <n v="1.076923"/>
        <n v="1.056604"/>
        <n v="1.142857"/>
        <n v="1.191489"/>
        <n v="1.217391"/>
        <n v="1.166667"/>
        <s v="Infinity"/>
        <n v="1.018182"/>
        <n v="1.0"/>
        <n v="1.037037"/>
        <n v="1.302326"/>
        <n v="1.272727"/>
      </sharedItems>
    </cacheField>
    <cacheField name="1.222727" numFmtId="0">
      <sharedItems containsSemiMixedTypes="0" containsString="0" containsNumber="1">
        <n v="1.222727"/>
        <n v="1.299517"/>
        <n v="1.206278"/>
        <n v="1.233945"/>
        <n v="1.228311"/>
        <n v="1.251163"/>
        <n v="1.262911"/>
        <n v="1.305825"/>
        <n v="1.280952"/>
        <n v="1.268868"/>
        <n v="1.42328"/>
        <n v="1.372449"/>
        <n v="1.190265"/>
        <n v="1.11157"/>
        <n v="1.125523"/>
        <n v="1.185022"/>
        <n v="1.257009"/>
        <n v="1.174672"/>
        <n v="1.200893"/>
        <n v="1.179825"/>
        <n v="1.164502"/>
        <n v="1.325123"/>
        <n v="1.139831"/>
        <n v="1.106996"/>
        <n v="1.089069"/>
        <n v="1.217195"/>
        <n v="1.159483"/>
        <n v="1.093496"/>
        <n v="1.102459"/>
        <n v="1.084677"/>
        <n v="1.063241"/>
        <n v="1.007491"/>
        <n v="1.015094"/>
        <n v="1.080321"/>
        <n v="1.097959"/>
        <n v="1.149573"/>
        <n v="1.03861"/>
        <n v="1.026718"/>
        <n v="1.022814"/>
        <n v="1.034615"/>
        <n v="1.042636"/>
        <n v="1.050781"/>
        <n v="1.06746"/>
        <n v="1.116183"/>
        <n v="1.130252"/>
        <n v="1.169565"/>
        <n v="1.076"/>
        <n v="1.05490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layer Stats Master File" cacheId="0" dataCaption="" compact="0" compactData="0">
  <location ref="AK10:AL40" firstHeaderRow="0" firstDataRow="1" firstDataCol="0"/>
  <pivotFields>
    <pivotField name="Allen Ivers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G" compact="0" outline="0" multipleItemSelectionAllowed="1" showAll="0">
      <items>
        <item x="0"/>
        <item x="1"/>
        <item x="2"/>
        <item t="default"/>
      </items>
    </pivotField>
    <pivotField name="199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0.0714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23.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2.0580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7.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0.655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4.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0.5237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3.099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0.259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0.474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0.038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51.30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2745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383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648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18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2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5.805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3.608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6.097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0.173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.079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96.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4.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41.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8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1.2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1.7883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1.17073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1.14285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1.22272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4.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</row>
    <row r="5">
      <c r="A5" s="4" t="s">
        <v>3</v>
      </c>
    </row>
    <row r="6">
      <c r="A6" s="5" t="s">
        <v>4</v>
      </c>
    </row>
    <row r="7">
      <c r="A7" s="4" t="s">
        <v>5</v>
      </c>
    </row>
    <row r="8">
      <c r="A8" s="1"/>
    </row>
    <row r="9">
      <c r="A9" s="1" t="s">
        <v>6</v>
      </c>
    </row>
    <row r="10">
      <c r="A10" s="6" t="s">
        <v>7</v>
      </c>
    </row>
    <row r="11">
      <c r="A11" s="6" t="s">
        <v>8</v>
      </c>
    </row>
    <row r="13">
      <c r="A13" s="7" t="s">
        <v>9</v>
      </c>
    </row>
    <row r="15">
      <c r="A15" s="8" t="s">
        <v>10</v>
      </c>
    </row>
    <row r="16">
      <c r="A16" s="6" t="s">
        <v>11</v>
      </c>
    </row>
    <row r="17">
      <c r="A17" s="6" t="s">
        <v>12</v>
      </c>
    </row>
    <row r="19">
      <c r="A19" s="8" t="s">
        <v>13</v>
      </c>
    </row>
    <row r="20">
      <c r="A20" s="9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38"/>
    <col customWidth="1" min="2" max="3" width="6.63"/>
    <col customWidth="1" min="4" max="4" width="8.5"/>
    <col customWidth="1" min="5" max="5" width="5.63"/>
    <col customWidth="1" min="6" max="6" width="8.13"/>
    <col customWidth="1" min="7" max="7" width="9.0"/>
    <col customWidth="1" min="8" max="8" width="9.13"/>
    <col customWidth="1" min="9" max="9" width="8.88"/>
    <col customWidth="1" min="10" max="10" width="8.0"/>
    <col customWidth="1" min="11" max="11" width="6.0"/>
    <col customWidth="1" min="12" max="12" width="5.88"/>
    <col customWidth="1" min="13" max="13" width="6.38"/>
    <col customWidth="1" min="14" max="14" width="6.63"/>
    <col customWidth="1" min="15" max="15" width="6.75"/>
    <col customWidth="1" min="16" max="16" width="7.0"/>
    <col customWidth="1" min="17" max="17" width="9.0"/>
    <col customWidth="1" min="18" max="18" width="6.13"/>
    <col customWidth="1" min="19" max="19" width="6.0"/>
    <col customWidth="1" min="20" max="20" width="7.75"/>
    <col customWidth="1" min="21" max="21" width="6.5"/>
    <col customWidth="1" min="22" max="22" width="6.25"/>
  </cols>
  <sheetData>
    <row r="1">
      <c r="A1" s="10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2" t="s">
        <v>21</v>
      </c>
      <c r="H1" s="13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5" t="s">
        <v>28</v>
      </c>
      <c r="O1" s="16" t="s">
        <v>29</v>
      </c>
      <c r="P1" s="16" t="s">
        <v>30</v>
      </c>
      <c r="Q1" s="17" t="s">
        <v>31</v>
      </c>
      <c r="R1" s="18" t="s">
        <v>32</v>
      </c>
      <c r="S1" s="18" t="s">
        <v>33</v>
      </c>
      <c r="T1" s="19" t="s">
        <v>34</v>
      </c>
      <c r="U1" s="19" t="s">
        <v>35</v>
      </c>
      <c r="V1" s="20" t="s">
        <v>36</v>
      </c>
      <c r="W1" s="21"/>
      <c r="X1" s="21"/>
      <c r="Y1" s="21"/>
      <c r="Z1" s="21"/>
    </row>
    <row r="2">
      <c r="A2" s="22" t="s">
        <v>37</v>
      </c>
      <c r="B2" s="23">
        <v>13.0</v>
      </c>
      <c r="C2" s="23">
        <v>3.0</v>
      </c>
      <c r="D2" s="23">
        <v>4.0</v>
      </c>
      <c r="E2" s="23">
        <v>5.0</v>
      </c>
      <c r="F2" s="23">
        <v>1.0</v>
      </c>
      <c r="G2" s="23">
        <v>26.0</v>
      </c>
      <c r="H2" s="23">
        <v>4.0</v>
      </c>
      <c r="I2" s="24">
        <v>4.0</v>
      </c>
      <c r="J2" s="23">
        <v>4.0</v>
      </c>
      <c r="K2" s="25"/>
      <c r="L2" s="24">
        <v>1.0</v>
      </c>
      <c r="M2" s="25"/>
      <c r="N2" s="26">
        <v>21.0</v>
      </c>
      <c r="O2" s="26">
        <v>1.0</v>
      </c>
      <c r="P2" s="26">
        <v>1.0</v>
      </c>
      <c r="R2" s="27"/>
      <c r="S2" s="27"/>
      <c r="T2" s="26">
        <v>22.0</v>
      </c>
      <c r="U2" s="26">
        <v>18.0</v>
      </c>
      <c r="V2" s="28">
        <v>50.0</v>
      </c>
    </row>
    <row r="3">
      <c r="A3" s="22" t="s">
        <v>38</v>
      </c>
      <c r="B3" s="23">
        <v>10.0</v>
      </c>
      <c r="C3" s="23">
        <v>5.0</v>
      </c>
      <c r="D3" s="23">
        <v>0.0</v>
      </c>
      <c r="E3" s="23">
        <v>5.0</v>
      </c>
      <c r="F3" s="23">
        <v>6.0</v>
      </c>
      <c r="G3" s="23">
        <v>26.0</v>
      </c>
      <c r="H3" s="24">
        <v>6.0</v>
      </c>
      <c r="I3" s="29">
        <v>2.0</v>
      </c>
      <c r="J3" s="24">
        <v>6.0</v>
      </c>
      <c r="K3" s="25"/>
      <c r="L3" s="24">
        <v>1.0</v>
      </c>
      <c r="M3" s="25"/>
      <c r="N3" s="26">
        <v>19.0</v>
      </c>
      <c r="O3" s="26">
        <v>2.0</v>
      </c>
      <c r="P3" s="27"/>
      <c r="Q3" s="26">
        <v>1.0</v>
      </c>
      <c r="R3" s="27"/>
      <c r="S3" s="26">
        <v>4.0</v>
      </c>
      <c r="T3" s="26">
        <v>20.0</v>
      </c>
      <c r="U3" s="26">
        <v>18.0</v>
      </c>
      <c r="V3" s="28">
        <v>46.0</v>
      </c>
    </row>
    <row r="4">
      <c r="A4" s="22" t="s">
        <v>39</v>
      </c>
      <c r="B4" s="23">
        <v>11.0</v>
      </c>
      <c r="C4" s="23">
        <v>2.0</v>
      </c>
      <c r="D4" s="23">
        <v>1.0</v>
      </c>
      <c r="E4" s="23">
        <v>3.0</v>
      </c>
      <c r="F4" s="23">
        <v>1.0</v>
      </c>
      <c r="G4" s="23">
        <v>18.0</v>
      </c>
      <c r="H4" s="25"/>
      <c r="I4" s="30"/>
      <c r="J4" s="24">
        <v>2.0</v>
      </c>
      <c r="K4" s="25"/>
      <c r="L4" s="25"/>
      <c r="M4" s="25"/>
      <c r="N4" s="26">
        <v>14.0</v>
      </c>
      <c r="O4" s="27"/>
      <c r="P4" s="27"/>
      <c r="R4" s="27"/>
      <c r="S4" s="27"/>
      <c r="T4" s="26">
        <v>19.0</v>
      </c>
      <c r="U4" s="26">
        <v>19.0</v>
      </c>
      <c r="V4" s="28">
        <v>27.0</v>
      </c>
    </row>
    <row r="5">
      <c r="A5" s="22" t="s">
        <v>40</v>
      </c>
      <c r="B5" s="23">
        <v>7.0</v>
      </c>
      <c r="C5" s="23">
        <v>3.0</v>
      </c>
      <c r="D5" s="23">
        <v>0.0</v>
      </c>
      <c r="E5" s="23">
        <v>2.0</v>
      </c>
      <c r="F5" s="23">
        <v>0.0</v>
      </c>
      <c r="G5" s="23">
        <v>12.0</v>
      </c>
      <c r="H5" s="24">
        <v>2.0</v>
      </c>
      <c r="I5" s="29">
        <v>1.0</v>
      </c>
      <c r="J5" s="24">
        <v>4.0</v>
      </c>
      <c r="K5" s="25"/>
      <c r="L5" s="24">
        <v>1.0</v>
      </c>
      <c r="M5" s="25"/>
      <c r="N5" s="26">
        <v>13.0</v>
      </c>
      <c r="O5" s="26">
        <v>7.0</v>
      </c>
      <c r="P5" s="27"/>
      <c r="Q5" s="26">
        <v>11.0</v>
      </c>
      <c r="R5" s="27"/>
      <c r="S5" s="27"/>
      <c r="T5" s="26">
        <v>14.0</v>
      </c>
      <c r="U5" s="26">
        <v>13.0</v>
      </c>
      <c r="V5" s="28">
        <v>42.0</v>
      </c>
    </row>
    <row r="6">
      <c r="A6" s="22" t="s">
        <v>41</v>
      </c>
      <c r="B6" s="23">
        <v>11.0</v>
      </c>
      <c r="C6" s="23">
        <v>2.0</v>
      </c>
      <c r="D6" s="23">
        <v>2.0</v>
      </c>
      <c r="E6" s="23">
        <v>9.0</v>
      </c>
      <c r="F6" s="23">
        <v>3.0</v>
      </c>
      <c r="G6" s="23">
        <v>27.0</v>
      </c>
      <c r="H6" s="24">
        <v>5.0</v>
      </c>
      <c r="I6" s="29">
        <v>2.0</v>
      </c>
      <c r="J6" s="24">
        <v>1.0</v>
      </c>
      <c r="K6" s="25"/>
      <c r="L6" s="25"/>
      <c r="M6" s="25"/>
      <c r="N6" s="26">
        <v>18.0</v>
      </c>
      <c r="O6" s="26">
        <v>2.0</v>
      </c>
      <c r="P6" s="27"/>
      <c r="R6" s="27"/>
      <c r="S6" s="27"/>
      <c r="T6" s="26">
        <v>20.0</v>
      </c>
      <c r="U6" s="26">
        <v>15.0</v>
      </c>
      <c r="V6" s="28">
        <v>50.0</v>
      </c>
    </row>
    <row r="7">
      <c r="A7" s="22" t="s">
        <v>42</v>
      </c>
      <c r="B7" s="23">
        <v>10.0</v>
      </c>
      <c r="C7" s="23">
        <v>1.0</v>
      </c>
      <c r="D7" s="23">
        <v>0.0</v>
      </c>
      <c r="E7" s="23">
        <v>9.0</v>
      </c>
      <c r="F7" s="23">
        <v>0.0</v>
      </c>
      <c r="G7" s="23">
        <v>20.0</v>
      </c>
      <c r="H7" s="24">
        <v>6.0</v>
      </c>
      <c r="I7" s="29">
        <v>6.0</v>
      </c>
      <c r="J7" s="24">
        <v>5.0</v>
      </c>
      <c r="K7" s="24">
        <v>1.0</v>
      </c>
      <c r="L7" s="24">
        <v>1.0</v>
      </c>
      <c r="M7" s="25"/>
      <c r="N7" s="26">
        <v>14.0</v>
      </c>
      <c r="O7" s="26">
        <v>10.0</v>
      </c>
      <c r="P7" s="27"/>
      <c r="R7" s="26">
        <v>3.0</v>
      </c>
      <c r="S7" s="27"/>
      <c r="T7" s="26">
        <v>15.0</v>
      </c>
      <c r="U7" s="26">
        <v>13.0</v>
      </c>
      <c r="V7" s="28">
        <v>50.0</v>
      </c>
    </row>
    <row r="8">
      <c r="A8" s="22" t="s">
        <v>43</v>
      </c>
      <c r="B8" s="23">
        <v>4.0</v>
      </c>
      <c r="C8" s="23">
        <v>5.0</v>
      </c>
      <c r="D8" s="23">
        <v>3.0</v>
      </c>
      <c r="E8" s="23">
        <v>0.0</v>
      </c>
      <c r="F8" s="23">
        <v>0.0</v>
      </c>
      <c r="G8" s="23">
        <v>12.0</v>
      </c>
      <c r="H8" s="24">
        <v>1.0</v>
      </c>
      <c r="I8" s="29">
        <v>1.0</v>
      </c>
      <c r="J8" s="24">
        <v>1.0</v>
      </c>
      <c r="K8" s="25"/>
      <c r="L8" s="25"/>
      <c r="M8" s="25"/>
      <c r="N8" s="26">
        <v>14.0</v>
      </c>
      <c r="O8" s="27"/>
      <c r="P8" s="27"/>
      <c r="R8" s="27"/>
      <c r="S8" s="27"/>
      <c r="T8" s="26">
        <v>21.0</v>
      </c>
      <c r="U8" s="26">
        <v>15.0</v>
      </c>
      <c r="V8" s="28">
        <v>23.0</v>
      </c>
    </row>
    <row r="9">
      <c r="A9" s="22" t="s">
        <v>44</v>
      </c>
      <c r="B9" s="23">
        <v>6.0</v>
      </c>
      <c r="C9" s="23">
        <v>5.0</v>
      </c>
      <c r="D9" s="23">
        <v>0.0</v>
      </c>
      <c r="E9" s="23">
        <v>0.0</v>
      </c>
      <c r="F9" s="23">
        <v>0.0</v>
      </c>
      <c r="G9" s="23">
        <v>11.0</v>
      </c>
      <c r="H9" s="24">
        <v>2.0</v>
      </c>
      <c r="I9" s="23">
        <v>2.0</v>
      </c>
      <c r="J9" s="24">
        <v>1.0</v>
      </c>
      <c r="K9" s="25"/>
      <c r="L9" s="24">
        <v>1.0</v>
      </c>
      <c r="M9" s="25"/>
      <c r="N9" s="26">
        <v>11.0</v>
      </c>
      <c r="O9" s="26">
        <v>4.0</v>
      </c>
      <c r="P9" s="27"/>
      <c r="R9" s="27"/>
      <c r="S9" s="27"/>
      <c r="T9" s="26">
        <v>17.0</v>
      </c>
      <c r="U9" s="26">
        <v>13.0</v>
      </c>
      <c r="V9" s="28">
        <v>37.0</v>
      </c>
    </row>
    <row r="10">
      <c r="A10" s="22" t="s">
        <v>45</v>
      </c>
      <c r="B10" s="23">
        <v>5.0</v>
      </c>
      <c r="C10" s="23">
        <v>2.0</v>
      </c>
      <c r="D10" s="23">
        <v>0.0</v>
      </c>
      <c r="E10" s="23">
        <v>1.0</v>
      </c>
      <c r="F10" s="23">
        <v>0.0</v>
      </c>
      <c r="G10" s="23">
        <v>8.0</v>
      </c>
      <c r="H10" s="23">
        <v>1.0</v>
      </c>
      <c r="I10" s="31"/>
      <c r="J10" s="23">
        <v>4.0</v>
      </c>
      <c r="K10" s="25"/>
      <c r="L10" s="25"/>
      <c r="M10" s="25"/>
      <c r="N10" s="26">
        <v>16.0</v>
      </c>
      <c r="O10" s="26">
        <v>3.0</v>
      </c>
      <c r="P10" s="27"/>
      <c r="R10" s="27"/>
      <c r="S10" s="27"/>
      <c r="T10" s="26">
        <v>16.0</v>
      </c>
      <c r="U10" s="26">
        <v>16.0</v>
      </c>
      <c r="V10" s="28">
        <v>46.0</v>
      </c>
    </row>
    <row r="11">
      <c r="A11" s="22" t="s">
        <v>46</v>
      </c>
      <c r="B11" s="23">
        <v>8.0</v>
      </c>
      <c r="C11" s="23">
        <v>2.0</v>
      </c>
      <c r="D11" s="23">
        <v>4.0</v>
      </c>
      <c r="E11" s="23">
        <v>0.0</v>
      </c>
      <c r="F11" s="23">
        <v>3.0</v>
      </c>
      <c r="G11" s="23">
        <v>17.0</v>
      </c>
      <c r="H11" s="23">
        <v>4.0</v>
      </c>
      <c r="I11" s="32">
        <v>3.0</v>
      </c>
      <c r="J11" s="23">
        <v>1.0</v>
      </c>
      <c r="K11" s="25"/>
      <c r="L11" s="23">
        <v>1.0</v>
      </c>
      <c r="M11" s="25"/>
      <c r="N11" s="26">
        <v>15.0</v>
      </c>
      <c r="O11" s="26">
        <v>2.0</v>
      </c>
      <c r="P11" s="27"/>
      <c r="R11" s="27"/>
      <c r="S11" s="27"/>
      <c r="T11" s="26">
        <v>19.0</v>
      </c>
      <c r="U11" s="26">
        <v>17.0</v>
      </c>
      <c r="V11" s="28">
        <v>45.0</v>
      </c>
    </row>
    <row r="12">
      <c r="A12" s="22" t="s">
        <v>47</v>
      </c>
      <c r="B12" s="23">
        <v>1.0</v>
      </c>
      <c r="C12" s="23">
        <v>4.0</v>
      </c>
      <c r="D12" s="23">
        <v>2.0</v>
      </c>
      <c r="E12" s="23">
        <v>0.0</v>
      </c>
      <c r="F12" s="23">
        <v>0.0</v>
      </c>
      <c r="G12" s="23">
        <v>7.0</v>
      </c>
      <c r="H12" s="25"/>
      <c r="I12" s="31"/>
      <c r="J12" s="25"/>
      <c r="K12" s="25"/>
      <c r="L12" s="25"/>
      <c r="M12" s="25"/>
      <c r="N12" s="26">
        <v>7.0</v>
      </c>
      <c r="O12" s="26">
        <v>1.0</v>
      </c>
      <c r="P12" s="27"/>
      <c r="R12" s="27"/>
      <c r="S12" s="27"/>
      <c r="T12" s="26">
        <v>15.0</v>
      </c>
      <c r="U12" s="26">
        <v>10.0</v>
      </c>
      <c r="V12" s="28">
        <v>34.0</v>
      </c>
    </row>
    <row r="13">
      <c r="A13" s="22" t="s">
        <v>48</v>
      </c>
      <c r="B13" s="23">
        <v>3.0</v>
      </c>
      <c r="C13" s="23">
        <v>3.0</v>
      </c>
      <c r="D13" s="23">
        <v>1.0</v>
      </c>
      <c r="E13" s="23">
        <v>0.0</v>
      </c>
      <c r="F13" s="23">
        <v>0.0</v>
      </c>
      <c r="G13" s="23">
        <v>7.0</v>
      </c>
      <c r="H13" s="25"/>
      <c r="I13" s="25"/>
      <c r="J13" s="24">
        <v>1.0</v>
      </c>
      <c r="K13" s="25"/>
      <c r="L13" s="24">
        <v>1.0</v>
      </c>
      <c r="M13" s="25"/>
      <c r="N13" s="26">
        <v>11.0</v>
      </c>
      <c r="O13" s="26">
        <v>4.0</v>
      </c>
      <c r="P13" s="27"/>
      <c r="R13" s="26">
        <v>3.0</v>
      </c>
      <c r="S13" s="27"/>
      <c r="T13" s="26">
        <v>14.0</v>
      </c>
      <c r="U13" s="26">
        <v>8.0</v>
      </c>
      <c r="V13" s="28">
        <v>44.0</v>
      </c>
    </row>
    <row r="14">
      <c r="A14" s="22" t="s">
        <v>49</v>
      </c>
      <c r="B14" s="23">
        <v>6.0</v>
      </c>
      <c r="C14" s="23">
        <v>3.0</v>
      </c>
      <c r="D14" s="23">
        <v>3.0</v>
      </c>
      <c r="E14" s="23">
        <v>5.0</v>
      </c>
      <c r="F14" s="23">
        <v>4.0</v>
      </c>
      <c r="G14" s="23">
        <v>21.0</v>
      </c>
      <c r="H14" s="24">
        <v>2.0</v>
      </c>
      <c r="I14" s="24">
        <v>2.0</v>
      </c>
      <c r="J14" s="24">
        <v>1.0</v>
      </c>
      <c r="K14" s="24">
        <v>2.0</v>
      </c>
      <c r="L14" s="25"/>
      <c r="M14" s="25"/>
      <c r="N14" s="26">
        <v>12.0</v>
      </c>
      <c r="O14" s="27"/>
      <c r="P14" s="27"/>
      <c r="Q14" s="26">
        <v>2.0</v>
      </c>
      <c r="R14" s="27"/>
      <c r="S14" s="26">
        <v>3.0</v>
      </c>
      <c r="T14" s="26">
        <v>18.0</v>
      </c>
      <c r="U14" s="26">
        <v>15.0</v>
      </c>
      <c r="V14" s="26">
        <v>30.0</v>
      </c>
    </row>
    <row r="15">
      <c r="A15" s="22" t="s">
        <v>50</v>
      </c>
      <c r="B15" s="23">
        <v>9.0</v>
      </c>
      <c r="C15" s="23">
        <v>2.0</v>
      </c>
      <c r="D15" s="23">
        <v>0.0</v>
      </c>
      <c r="E15" s="23">
        <v>0.0</v>
      </c>
      <c r="F15" s="23">
        <v>0.0</v>
      </c>
      <c r="G15" s="23">
        <v>11.0</v>
      </c>
      <c r="H15" s="24">
        <v>1.0</v>
      </c>
      <c r="I15" s="25"/>
      <c r="J15" s="24">
        <v>1.0</v>
      </c>
      <c r="K15" s="25"/>
      <c r="L15" s="24">
        <v>1.0</v>
      </c>
      <c r="M15" s="25"/>
      <c r="N15" s="26">
        <v>12.0</v>
      </c>
      <c r="O15" s="26">
        <v>1.0</v>
      </c>
      <c r="P15" s="26">
        <v>6.0</v>
      </c>
      <c r="R15" s="27"/>
      <c r="S15" s="27"/>
      <c r="T15" s="26">
        <v>14.0</v>
      </c>
      <c r="U15" s="26">
        <v>10.0</v>
      </c>
      <c r="V15" s="28">
        <v>28.0</v>
      </c>
    </row>
    <row r="16">
      <c r="A16" s="22" t="s">
        <v>51</v>
      </c>
      <c r="B16" s="23">
        <v>10.0</v>
      </c>
      <c r="C16" s="23">
        <v>3.0</v>
      </c>
      <c r="D16" s="23">
        <v>2.0</v>
      </c>
      <c r="E16" s="23">
        <v>8.0</v>
      </c>
      <c r="F16" s="23">
        <v>7.0</v>
      </c>
      <c r="G16" s="23">
        <v>30.0</v>
      </c>
      <c r="H16" s="23">
        <v>5.0</v>
      </c>
      <c r="I16" s="23">
        <v>3.0</v>
      </c>
      <c r="J16" s="23">
        <v>2.0</v>
      </c>
      <c r="K16" s="25"/>
      <c r="L16" s="23">
        <v>1.0</v>
      </c>
      <c r="M16" s="25"/>
      <c r="N16" s="33">
        <v>15.0</v>
      </c>
      <c r="O16" s="27"/>
      <c r="P16" s="27"/>
      <c r="R16" s="27"/>
      <c r="S16" s="27"/>
      <c r="T16" s="26">
        <v>19.0</v>
      </c>
      <c r="U16" s="26">
        <v>18.0</v>
      </c>
      <c r="V16" s="28">
        <v>32.0</v>
      </c>
    </row>
    <row r="17">
      <c r="A17" s="22" t="s">
        <v>52</v>
      </c>
      <c r="B17" s="23">
        <v>4.0</v>
      </c>
      <c r="C17" s="23">
        <v>7.0</v>
      </c>
      <c r="D17" s="23">
        <v>0.0</v>
      </c>
      <c r="E17" s="23">
        <v>5.0</v>
      </c>
      <c r="F17" s="23">
        <v>3.0</v>
      </c>
      <c r="G17" s="23">
        <v>19.0</v>
      </c>
      <c r="H17" s="24">
        <v>8.0</v>
      </c>
      <c r="I17" s="24">
        <v>1.0</v>
      </c>
      <c r="J17" s="25"/>
      <c r="K17" s="25"/>
      <c r="L17" s="25"/>
      <c r="M17" s="25"/>
      <c r="N17" s="26">
        <v>13.0</v>
      </c>
      <c r="O17" s="27"/>
      <c r="P17" s="27"/>
      <c r="R17" s="27"/>
      <c r="S17" s="27"/>
      <c r="T17" s="26">
        <v>16.0</v>
      </c>
      <c r="U17" s="26">
        <v>13.0</v>
      </c>
      <c r="V17" s="28">
        <v>24.0</v>
      </c>
    </row>
    <row r="18">
      <c r="A18" s="22" t="s">
        <v>53</v>
      </c>
      <c r="B18" s="23">
        <v>4.0</v>
      </c>
      <c r="C18" s="23">
        <v>3.0</v>
      </c>
      <c r="D18" s="23">
        <v>2.0</v>
      </c>
      <c r="E18" s="23">
        <v>9.0</v>
      </c>
      <c r="F18" s="23">
        <v>3.0</v>
      </c>
      <c r="G18" s="23">
        <v>21.0</v>
      </c>
      <c r="H18" s="24">
        <v>1.0</v>
      </c>
      <c r="I18" s="25"/>
      <c r="J18" s="24">
        <v>1.0</v>
      </c>
      <c r="K18" s="24">
        <v>1.0</v>
      </c>
      <c r="L18" s="25"/>
      <c r="M18" s="25"/>
      <c r="N18" s="26">
        <v>15.0</v>
      </c>
      <c r="O18" s="27"/>
      <c r="P18" s="27"/>
      <c r="Q18" s="26">
        <v>4.0</v>
      </c>
      <c r="R18" s="27"/>
      <c r="S18" s="27"/>
      <c r="T18" s="26">
        <v>21.0</v>
      </c>
      <c r="U18" s="26">
        <v>14.0</v>
      </c>
      <c r="V18" s="28">
        <v>38.0</v>
      </c>
    </row>
    <row r="19">
      <c r="A19" s="22" t="s">
        <v>54</v>
      </c>
      <c r="B19" s="23">
        <v>10.0</v>
      </c>
      <c r="C19" s="23">
        <v>2.0</v>
      </c>
      <c r="D19" s="23">
        <v>0.0</v>
      </c>
      <c r="E19" s="23">
        <v>4.0</v>
      </c>
      <c r="F19" s="23">
        <v>1.0</v>
      </c>
      <c r="G19" s="23">
        <v>17.0</v>
      </c>
      <c r="H19" s="24">
        <v>1.0</v>
      </c>
      <c r="I19" s="24">
        <v>1.0</v>
      </c>
      <c r="J19" s="25"/>
      <c r="K19" s="25"/>
      <c r="L19" s="25"/>
      <c r="M19" s="25"/>
      <c r="N19" s="26">
        <v>14.0</v>
      </c>
      <c r="O19" s="26">
        <v>1.0</v>
      </c>
      <c r="P19" s="26">
        <v>1.0</v>
      </c>
      <c r="R19" s="27"/>
      <c r="S19" s="27"/>
      <c r="T19" s="26">
        <v>14.0</v>
      </c>
      <c r="U19" s="26">
        <v>13.0</v>
      </c>
      <c r="V19" s="28">
        <v>48.0</v>
      </c>
    </row>
    <row r="20">
      <c r="A20" s="22" t="s">
        <v>55</v>
      </c>
      <c r="B20" s="23">
        <v>4.0</v>
      </c>
      <c r="C20" s="23">
        <v>4.0</v>
      </c>
      <c r="D20" s="23">
        <v>2.0</v>
      </c>
      <c r="E20" s="23">
        <v>0.0</v>
      </c>
      <c r="F20" s="23">
        <v>0.0</v>
      </c>
      <c r="G20" s="23">
        <v>10.0</v>
      </c>
      <c r="H20" s="24">
        <v>4.0</v>
      </c>
      <c r="I20" s="24">
        <v>1.0</v>
      </c>
      <c r="J20" s="24">
        <v>2.0</v>
      </c>
      <c r="K20" s="25"/>
      <c r="L20" s="25"/>
      <c r="M20" s="25"/>
      <c r="N20" s="26">
        <v>11.0</v>
      </c>
      <c r="O20" s="26">
        <v>2.0</v>
      </c>
      <c r="P20" s="27"/>
      <c r="R20" s="26">
        <v>1.0</v>
      </c>
      <c r="S20" s="27"/>
      <c r="T20" s="26">
        <v>16.0</v>
      </c>
      <c r="U20" s="26">
        <v>10.0</v>
      </c>
      <c r="V20" s="26">
        <v>50.0</v>
      </c>
    </row>
    <row r="21">
      <c r="A21" s="22" t="s">
        <v>56</v>
      </c>
      <c r="B21" s="23">
        <v>2.0</v>
      </c>
      <c r="C21" s="23">
        <v>3.0</v>
      </c>
      <c r="D21" s="23">
        <v>3.0</v>
      </c>
      <c r="E21" s="23">
        <v>0.0</v>
      </c>
      <c r="F21" s="23">
        <v>3.0</v>
      </c>
      <c r="G21" s="23">
        <v>11.0</v>
      </c>
      <c r="H21" s="24">
        <v>3.0</v>
      </c>
      <c r="I21" s="24">
        <v>1.0</v>
      </c>
      <c r="J21" s="25"/>
      <c r="K21" s="25"/>
      <c r="L21" s="25"/>
      <c r="M21" s="25"/>
      <c r="N21" s="26">
        <v>13.0</v>
      </c>
      <c r="O21" s="26">
        <v>1.0</v>
      </c>
      <c r="P21" s="27"/>
      <c r="R21" s="27"/>
      <c r="S21" s="27"/>
      <c r="T21" s="26">
        <v>16.0</v>
      </c>
      <c r="U21" s="26">
        <v>13.0</v>
      </c>
      <c r="V21" s="28">
        <v>37.0</v>
      </c>
    </row>
    <row r="22">
      <c r="A22" s="22" t="s">
        <v>57</v>
      </c>
      <c r="B22" s="23">
        <v>2.0</v>
      </c>
      <c r="C22" s="23">
        <v>5.0</v>
      </c>
      <c r="D22" s="23">
        <v>2.0</v>
      </c>
      <c r="E22" s="23">
        <v>9.0</v>
      </c>
      <c r="F22" s="23">
        <v>0.0</v>
      </c>
      <c r="G22" s="23">
        <v>18.0</v>
      </c>
      <c r="H22" s="24">
        <v>1.0</v>
      </c>
      <c r="I22" s="25"/>
      <c r="J22" s="25"/>
      <c r="K22" s="24">
        <v>1.0</v>
      </c>
      <c r="L22" s="25"/>
      <c r="M22" s="25"/>
      <c r="N22" s="26">
        <v>9.0</v>
      </c>
      <c r="O22" s="27"/>
      <c r="P22" s="27"/>
      <c r="R22" s="26">
        <v>1.0</v>
      </c>
      <c r="S22" s="27"/>
      <c r="T22" s="26">
        <v>17.0</v>
      </c>
      <c r="U22" s="26">
        <v>15.0</v>
      </c>
      <c r="V22" s="28">
        <v>32.0</v>
      </c>
    </row>
    <row r="23">
      <c r="A23" s="22" t="s">
        <v>58</v>
      </c>
      <c r="B23" s="23">
        <v>4.0</v>
      </c>
      <c r="C23" s="23">
        <v>5.0</v>
      </c>
      <c r="D23" s="23">
        <v>2.0</v>
      </c>
      <c r="E23" s="23">
        <v>7.0</v>
      </c>
      <c r="F23" s="23">
        <v>2.0</v>
      </c>
      <c r="G23" s="23">
        <v>20.0</v>
      </c>
      <c r="H23" s="25"/>
      <c r="I23" s="25"/>
      <c r="J23" s="25"/>
      <c r="K23" s="25"/>
      <c r="L23" s="24">
        <v>1.0</v>
      </c>
      <c r="M23" s="25"/>
      <c r="N23" s="26">
        <v>12.0</v>
      </c>
      <c r="O23" s="27"/>
      <c r="P23" s="26">
        <v>5.0</v>
      </c>
      <c r="R23" s="26">
        <v>6.0</v>
      </c>
      <c r="S23" s="27"/>
      <c r="T23" s="26">
        <v>20.0</v>
      </c>
      <c r="U23" s="26">
        <v>15.0</v>
      </c>
      <c r="V23" s="28">
        <v>25.0</v>
      </c>
    </row>
    <row r="24">
      <c r="A24" s="22" t="s">
        <v>59</v>
      </c>
      <c r="B24" s="23">
        <v>9.0</v>
      </c>
      <c r="C24" s="23">
        <v>1.0</v>
      </c>
      <c r="D24" s="23">
        <v>0.0</v>
      </c>
      <c r="E24" s="23">
        <v>0.0</v>
      </c>
      <c r="F24" s="23">
        <v>3.0</v>
      </c>
      <c r="G24" s="23">
        <v>13.0</v>
      </c>
      <c r="H24" s="24">
        <v>3.0</v>
      </c>
      <c r="I24" s="24">
        <v>2.0</v>
      </c>
      <c r="J24" s="24">
        <v>3.0</v>
      </c>
      <c r="K24" s="25"/>
      <c r="L24" s="24">
        <v>1.0</v>
      </c>
      <c r="M24" s="25"/>
      <c r="N24" s="26">
        <v>12.0</v>
      </c>
      <c r="O24" s="27"/>
      <c r="P24" s="27"/>
      <c r="R24" s="27"/>
      <c r="S24" s="27"/>
      <c r="T24" s="26">
        <v>13.0</v>
      </c>
      <c r="U24" s="28">
        <v>9.0</v>
      </c>
      <c r="V24" s="28">
        <v>50.0</v>
      </c>
    </row>
    <row r="25">
      <c r="A25" s="22" t="s">
        <v>60</v>
      </c>
      <c r="B25" s="23">
        <v>4.0</v>
      </c>
      <c r="C25" s="23">
        <v>2.0</v>
      </c>
      <c r="D25" s="23">
        <v>4.0</v>
      </c>
      <c r="E25" s="23">
        <v>4.0</v>
      </c>
      <c r="F25" s="23">
        <v>4.0</v>
      </c>
      <c r="G25" s="23">
        <v>18.0</v>
      </c>
      <c r="H25" s="24">
        <v>2.0</v>
      </c>
      <c r="I25" s="25"/>
      <c r="J25" s="24">
        <v>1.0</v>
      </c>
      <c r="K25" s="24">
        <v>1.0</v>
      </c>
      <c r="L25" s="24">
        <v>1.0</v>
      </c>
      <c r="M25" s="25"/>
      <c r="N25" s="26">
        <v>10.0</v>
      </c>
      <c r="O25" s="26">
        <v>1.0</v>
      </c>
      <c r="P25" s="27"/>
      <c r="Q25" s="26">
        <v>1.0</v>
      </c>
      <c r="R25" s="27"/>
      <c r="S25" s="26">
        <v>1.0</v>
      </c>
      <c r="T25" s="26">
        <v>14.0</v>
      </c>
      <c r="U25" s="26">
        <v>12.0</v>
      </c>
      <c r="V25" s="28">
        <v>30.0</v>
      </c>
    </row>
    <row r="26">
      <c r="A26" s="22" t="s">
        <v>61</v>
      </c>
      <c r="B26" s="23">
        <v>2.0</v>
      </c>
      <c r="C26" s="23">
        <v>6.0</v>
      </c>
      <c r="D26" s="23">
        <v>3.0</v>
      </c>
      <c r="E26" s="23">
        <v>0.0</v>
      </c>
      <c r="F26" s="23">
        <v>5.0</v>
      </c>
      <c r="G26" s="23">
        <v>16.0</v>
      </c>
      <c r="H26" s="25"/>
      <c r="I26" s="25"/>
      <c r="J26" s="25"/>
      <c r="K26" s="25"/>
      <c r="L26" s="25"/>
      <c r="M26" s="25"/>
      <c r="N26" s="26">
        <v>10.0</v>
      </c>
      <c r="O26" s="27"/>
      <c r="P26" s="26">
        <v>9.0</v>
      </c>
      <c r="R26" s="26">
        <v>2.0</v>
      </c>
      <c r="S26" s="27"/>
      <c r="T26" s="26">
        <v>19.0</v>
      </c>
      <c r="U26" s="26">
        <v>19.0</v>
      </c>
      <c r="V26" s="28">
        <v>28.0</v>
      </c>
    </row>
    <row r="27">
      <c r="A27" s="22" t="s">
        <v>62</v>
      </c>
      <c r="B27" s="23">
        <v>5.0</v>
      </c>
      <c r="C27" s="23">
        <v>1.0</v>
      </c>
      <c r="D27" s="23">
        <v>0.0</v>
      </c>
      <c r="E27" s="23">
        <v>4.0</v>
      </c>
      <c r="F27" s="23">
        <v>5.0</v>
      </c>
      <c r="G27" s="23">
        <v>15.0</v>
      </c>
      <c r="H27" s="24">
        <v>1.0</v>
      </c>
      <c r="I27" s="25"/>
      <c r="J27" s="25"/>
      <c r="K27" s="25"/>
      <c r="L27" s="24">
        <v>1.0</v>
      </c>
      <c r="M27" s="25"/>
      <c r="N27" s="26">
        <v>10.0</v>
      </c>
      <c r="O27" s="27"/>
      <c r="P27" s="26">
        <v>5.0</v>
      </c>
      <c r="R27" s="27"/>
      <c r="S27" s="27"/>
      <c r="T27" s="26">
        <v>19.0</v>
      </c>
      <c r="U27" s="26">
        <v>17.0</v>
      </c>
      <c r="V27" s="28">
        <v>32.0</v>
      </c>
    </row>
    <row r="28">
      <c r="A28" s="22" t="s">
        <v>63</v>
      </c>
      <c r="B28" s="23">
        <v>9.0</v>
      </c>
      <c r="C28" s="23">
        <v>1.0</v>
      </c>
      <c r="D28" s="23">
        <v>0.0</v>
      </c>
      <c r="E28" s="23">
        <v>0.0</v>
      </c>
      <c r="F28" s="23">
        <v>0.0</v>
      </c>
      <c r="G28" s="23">
        <v>10.0</v>
      </c>
      <c r="H28" s="24">
        <v>5.0</v>
      </c>
      <c r="I28" s="24">
        <v>3.0</v>
      </c>
      <c r="J28" s="24">
        <v>3.0</v>
      </c>
      <c r="K28" s="25"/>
      <c r="L28" s="25"/>
      <c r="M28" s="25"/>
      <c r="N28" s="26">
        <v>12.0</v>
      </c>
      <c r="O28" s="27"/>
      <c r="P28" s="26">
        <v>4.0</v>
      </c>
      <c r="R28" s="26">
        <v>2.0</v>
      </c>
      <c r="S28" s="27"/>
      <c r="T28" s="26">
        <v>13.0</v>
      </c>
      <c r="U28" s="26">
        <v>13.0</v>
      </c>
      <c r="V28" s="28">
        <v>50.0</v>
      </c>
    </row>
    <row r="29">
      <c r="A29" s="22" t="s">
        <v>64</v>
      </c>
      <c r="B29" s="23">
        <v>10.0</v>
      </c>
      <c r="C29" s="23">
        <v>2.0</v>
      </c>
      <c r="D29" s="23">
        <v>0.0</v>
      </c>
      <c r="E29" s="23">
        <v>0.0</v>
      </c>
      <c r="F29" s="23">
        <v>0.0</v>
      </c>
      <c r="G29" s="23">
        <v>12.0</v>
      </c>
      <c r="H29" s="24">
        <v>6.0</v>
      </c>
      <c r="I29" s="25"/>
      <c r="J29" s="24">
        <v>1.0</v>
      </c>
      <c r="K29" s="25"/>
      <c r="L29" s="25"/>
      <c r="M29" s="25"/>
      <c r="N29" s="27"/>
      <c r="O29" s="27"/>
      <c r="P29" s="26">
        <v>8.0</v>
      </c>
      <c r="R29" s="27"/>
      <c r="S29" s="27"/>
      <c r="T29" s="26">
        <v>14.0</v>
      </c>
      <c r="U29" s="28">
        <v>13.0</v>
      </c>
      <c r="V29" s="28">
        <v>20.0</v>
      </c>
    </row>
    <row r="30">
      <c r="A30" s="22" t="s">
        <v>65</v>
      </c>
      <c r="B30" s="23">
        <v>3.0</v>
      </c>
      <c r="C30" s="23">
        <v>8.0</v>
      </c>
      <c r="D30" s="23">
        <v>0.0</v>
      </c>
      <c r="E30" s="23">
        <v>1.0</v>
      </c>
      <c r="F30" s="23">
        <v>0.0</v>
      </c>
      <c r="G30" s="23">
        <v>12.0</v>
      </c>
      <c r="H30" s="23">
        <v>11.0</v>
      </c>
      <c r="I30" s="25"/>
      <c r="J30" s="23">
        <v>5.0</v>
      </c>
      <c r="K30" s="25"/>
      <c r="L30" s="25"/>
      <c r="M30" s="25"/>
      <c r="N30" s="26">
        <v>12.0</v>
      </c>
      <c r="O30" s="27"/>
      <c r="P30" s="27"/>
      <c r="Q30" s="26">
        <v>5.0</v>
      </c>
      <c r="R30" s="27"/>
      <c r="S30" s="27"/>
      <c r="T30" s="26">
        <v>13.0</v>
      </c>
      <c r="U30" s="26">
        <v>13.0</v>
      </c>
      <c r="V30" s="28">
        <v>47.0</v>
      </c>
    </row>
    <row r="31">
      <c r="A31" s="22" t="s">
        <v>66</v>
      </c>
      <c r="B31" s="23">
        <v>3.0</v>
      </c>
      <c r="C31" s="23">
        <v>2.0</v>
      </c>
      <c r="D31" s="23">
        <v>0.0</v>
      </c>
      <c r="E31" s="23">
        <v>0.0</v>
      </c>
      <c r="F31" s="23">
        <v>0.0</v>
      </c>
      <c r="G31" s="23">
        <v>5.0</v>
      </c>
      <c r="H31" s="24">
        <v>2.0</v>
      </c>
      <c r="I31" s="24">
        <v>1.0</v>
      </c>
      <c r="J31" s="25"/>
      <c r="K31" s="25"/>
      <c r="L31" s="25"/>
      <c r="M31" s="25"/>
      <c r="N31" s="26">
        <v>12.0</v>
      </c>
      <c r="O31" s="27"/>
      <c r="P31" s="26">
        <v>1.0</v>
      </c>
      <c r="R31" s="27"/>
      <c r="S31" s="27"/>
      <c r="T31" s="26">
        <v>13.0</v>
      </c>
      <c r="U31" s="26">
        <v>9.0</v>
      </c>
      <c r="V31" s="26">
        <v>35.0</v>
      </c>
    </row>
    <row r="32">
      <c r="A32" s="34" t="s">
        <v>67</v>
      </c>
      <c r="B32" s="5">
        <v>7.0</v>
      </c>
      <c r="C32" s="5">
        <v>2.0</v>
      </c>
      <c r="D32" s="35"/>
      <c r="E32" s="5">
        <v>4.0</v>
      </c>
      <c r="F32" s="5">
        <v>1.0</v>
      </c>
      <c r="G32" s="5">
        <v>14.0</v>
      </c>
      <c r="H32" s="5">
        <v>1.0</v>
      </c>
      <c r="I32" s="5">
        <v>1.0</v>
      </c>
      <c r="J32" s="5">
        <v>2.0</v>
      </c>
      <c r="K32" s="5">
        <v>1.0</v>
      </c>
      <c r="L32" s="35"/>
      <c r="M32" s="35"/>
      <c r="N32" s="36">
        <v>9.0</v>
      </c>
      <c r="O32" s="37"/>
      <c r="P32" s="37"/>
      <c r="Q32" s="37"/>
      <c r="R32" s="37"/>
      <c r="S32" s="37"/>
      <c r="T32" s="36">
        <v>12.0</v>
      </c>
      <c r="U32" s="36">
        <v>9.0</v>
      </c>
      <c r="V32" s="36">
        <v>35.0</v>
      </c>
    </row>
    <row r="33">
      <c r="A33" s="34" t="s">
        <v>68</v>
      </c>
      <c r="B33" s="5">
        <v>4.0</v>
      </c>
      <c r="C33" s="5">
        <v>4.0</v>
      </c>
      <c r="D33" s="35"/>
      <c r="E33" s="5">
        <v>1.0</v>
      </c>
      <c r="F33" s="5">
        <v>1.0</v>
      </c>
      <c r="G33" s="35"/>
      <c r="H33" s="5">
        <v>1.0</v>
      </c>
      <c r="I33" s="5">
        <v>1.0</v>
      </c>
      <c r="J33" s="5">
        <v>3.0</v>
      </c>
      <c r="K33" s="35"/>
      <c r="L33" s="35"/>
      <c r="M33" s="35"/>
      <c r="N33" s="36">
        <v>13.0</v>
      </c>
      <c r="O33" s="37"/>
      <c r="P33" s="37"/>
      <c r="Q33" s="36">
        <v>6.0</v>
      </c>
      <c r="R33" s="37"/>
      <c r="S33" s="37"/>
      <c r="T33" s="36">
        <v>21.0</v>
      </c>
      <c r="U33" s="36">
        <v>13.0</v>
      </c>
      <c r="V33" s="36">
        <v>30.0</v>
      </c>
    </row>
    <row r="34">
      <c r="A34" s="38" t="s">
        <v>69</v>
      </c>
      <c r="B34" s="5">
        <v>5.0</v>
      </c>
      <c r="C34" s="5">
        <v>2.0</v>
      </c>
      <c r="D34" s="35"/>
      <c r="E34" s="35"/>
      <c r="F34" s="35"/>
      <c r="G34" s="35"/>
      <c r="H34" s="5">
        <v>1.0</v>
      </c>
      <c r="I34" s="5">
        <v>1.0</v>
      </c>
      <c r="J34" s="5">
        <v>3.0</v>
      </c>
      <c r="K34" s="35"/>
      <c r="L34" s="35"/>
      <c r="M34" s="35"/>
      <c r="N34" s="36">
        <v>7.0</v>
      </c>
      <c r="O34" s="37"/>
      <c r="P34" s="37"/>
      <c r="Q34" s="37"/>
      <c r="R34" s="37"/>
      <c r="S34" s="37"/>
      <c r="T34" s="36">
        <v>10.0</v>
      </c>
      <c r="U34" s="36">
        <v>7.0</v>
      </c>
      <c r="V34" s="36">
        <v>30.0</v>
      </c>
    </row>
    <row r="35">
      <c r="A35" s="39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7"/>
      <c r="O35" s="37"/>
      <c r="P35" s="37"/>
      <c r="Q35" s="37"/>
      <c r="R35" s="37"/>
      <c r="S35" s="37"/>
      <c r="T35" s="37"/>
      <c r="U35" s="37"/>
      <c r="V35" s="37"/>
    </row>
    <row r="36">
      <c r="A36" s="39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7"/>
      <c r="O36" s="37"/>
      <c r="P36" s="37"/>
      <c r="Q36" s="37"/>
      <c r="R36" s="37"/>
      <c r="S36" s="37"/>
      <c r="T36" s="37"/>
      <c r="U36" s="37"/>
      <c r="V36" s="37"/>
    </row>
    <row r="37">
      <c r="A37" s="39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7"/>
      <c r="O37" s="37"/>
      <c r="P37" s="37"/>
      <c r="Q37" s="37"/>
      <c r="R37" s="37"/>
      <c r="S37" s="37"/>
      <c r="T37" s="37"/>
      <c r="U37" s="37"/>
      <c r="V37" s="37"/>
    </row>
    <row r="38">
      <c r="A38" s="39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7"/>
      <c r="O38" s="37"/>
      <c r="P38" s="37"/>
      <c r="Q38" s="37"/>
      <c r="R38" s="37"/>
      <c r="S38" s="37"/>
      <c r="T38" s="37"/>
      <c r="U38" s="37"/>
      <c r="V38" s="37"/>
    </row>
    <row r="39">
      <c r="A39" s="39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7"/>
      <c r="O39" s="37"/>
      <c r="P39" s="37"/>
      <c r="Q39" s="37"/>
      <c r="R39" s="37"/>
      <c r="S39" s="37"/>
      <c r="T39" s="37"/>
      <c r="U39" s="37"/>
      <c r="V39" s="37"/>
    </row>
    <row r="40">
      <c r="A40" s="39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7"/>
      <c r="O40" s="37"/>
      <c r="P40" s="37"/>
      <c r="Q40" s="37"/>
      <c r="R40" s="37"/>
      <c r="S40" s="37"/>
      <c r="T40" s="37"/>
      <c r="U40" s="37"/>
      <c r="V40" s="37"/>
    </row>
    <row r="41">
      <c r="A41" s="39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7"/>
      <c r="O41" s="37"/>
      <c r="P41" s="37"/>
      <c r="Q41" s="37"/>
      <c r="R41" s="37"/>
      <c r="S41" s="37"/>
      <c r="T41" s="37"/>
      <c r="U41" s="37"/>
      <c r="V41" s="37"/>
    </row>
    <row r="42">
      <c r="A42" s="39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7"/>
      <c r="O42" s="37"/>
      <c r="P42" s="37"/>
      <c r="Q42" s="37"/>
      <c r="R42" s="37"/>
      <c r="S42" s="37"/>
      <c r="T42" s="37"/>
      <c r="U42" s="37"/>
      <c r="V42" s="37"/>
    </row>
    <row r="43">
      <c r="A43" s="39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7"/>
      <c r="O43" s="37"/>
      <c r="P43" s="37"/>
      <c r="Q43" s="37"/>
      <c r="R43" s="37"/>
      <c r="S43" s="37"/>
      <c r="T43" s="37"/>
      <c r="U43" s="37"/>
      <c r="V43" s="37"/>
    </row>
    <row r="44">
      <c r="A44" s="39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7"/>
      <c r="O44" s="37"/>
      <c r="P44" s="37"/>
      <c r="Q44" s="37"/>
      <c r="R44" s="37"/>
      <c r="S44" s="37"/>
      <c r="T44" s="37"/>
      <c r="U44" s="37"/>
      <c r="V44" s="37"/>
    </row>
    <row r="45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7"/>
      <c r="O45" s="37"/>
      <c r="P45" s="37"/>
      <c r="Q45" s="37"/>
      <c r="R45" s="37"/>
      <c r="S45" s="37"/>
      <c r="T45" s="37"/>
      <c r="U45" s="37"/>
      <c r="V45" s="37"/>
    </row>
    <row r="46">
      <c r="A46" s="39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7"/>
      <c r="O46" s="37"/>
      <c r="P46" s="37"/>
      <c r="Q46" s="37"/>
      <c r="R46" s="37"/>
      <c r="S46" s="37"/>
      <c r="T46" s="37"/>
      <c r="U46" s="37"/>
      <c r="V46" s="37"/>
    </row>
    <row r="47">
      <c r="A47" s="39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7"/>
      <c r="O47" s="37"/>
      <c r="P47" s="37"/>
      <c r="Q47" s="37"/>
      <c r="R47" s="37"/>
      <c r="S47" s="37"/>
      <c r="T47" s="37"/>
      <c r="U47" s="37"/>
      <c r="V47" s="37"/>
    </row>
    <row r="48">
      <c r="A48" s="39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7"/>
      <c r="O48" s="37"/>
      <c r="P48" s="37"/>
      <c r="Q48" s="37"/>
      <c r="R48" s="37"/>
      <c r="S48" s="37"/>
      <c r="T48" s="37"/>
      <c r="U48" s="37"/>
      <c r="V48" s="37"/>
    </row>
    <row r="49">
      <c r="A49" s="39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7"/>
      <c r="O49" s="37"/>
      <c r="P49" s="37"/>
      <c r="Q49" s="37"/>
      <c r="R49" s="37"/>
      <c r="S49" s="37"/>
      <c r="T49" s="37"/>
      <c r="U49" s="37"/>
      <c r="V49" s="37"/>
    </row>
    <row r="50">
      <c r="A50" s="39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7"/>
      <c r="O50" s="37"/>
      <c r="P50" s="37"/>
      <c r="Q50" s="37"/>
      <c r="R50" s="37"/>
      <c r="S50" s="37"/>
      <c r="T50" s="37"/>
      <c r="U50" s="37"/>
      <c r="V50" s="37"/>
    </row>
    <row r="51">
      <c r="A51" s="39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7"/>
      <c r="O51" s="37"/>
      <c r="P51" s="37"/>
      <c r="Q51" s="37"/>
      <c r="R51" s="37"/>
      <c r="S51" s="37"/>
      <c r="T51" s="37"/>
      <c r="U51" s="37"/>
      <c r="V51" s="37"/>
    </row>
    <row r="52">
      <c r="A52" s="39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7"/>
      <c r="O52" s="37"/>
      <c r="P52" s="37"/>
      <c r="Q52" s="37"/>
      <c r="R52" s="37"/>
      <c r="S52" s="37"/>
      <c r="T52" s="37"/>
      <c r="U52" s="37"/>
      <c r="V52" s="37"/>
    </row>
    <row r="53">
      <c r="A53" s="39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7"/>
      <c r="O53" s="37"/>
      <c r="P53" s="37"/>
      <c r="Q53" s="37"/>
      <c r="R53" s="37"/>
      <c r="S53" s="37"/>
      <c r="T53" s="37"/>
      <c r="U53" s="37"/>
      <c r="V53" s="37"/>
    </row>
    <row r="54">
      <c r="A54" s="39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7"/>
      <c r="O54" s="37"/>
      <c r="P54" s="37"/>
      <c r="Q54" s="37"/>
      <c r="R54" s="37"/>
      <c r="S54" s="37"/>
      <c r="T54" s="37"/>
      <c r="U54" s="37"/>
      <c r="V54" s="37"/>
    </row>
    <row r="55">
      <c r="A55" s="39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7"/>
      <c r="O55" s="37"/>
      <c r="P55" s="37"/>
      <c r="Q55" s="37"/>
      <c r="R55" s="37"/>
      <c r="S55" s="37"/>
      <c r="T55" s="37"/>
      <c r="U55" s="37"/>
      <c r="V55" s="37"/>
    </row>
    <row r="56">
      <c r="A56" s="39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7"/>
      <c r="O56" s="37"/>
      <c r="P56" s="37"/>
      <c r="Q56" s="37"/>
      <c r="R56" s="37"/>
      <c r="S56" s="37"/>
      <c r="T56" s="37"/>
      <c r="U56" s="37"/>
      <c r="V56" s="37"/>
    </row>
    <row r="57">
      <c r="A57" s="39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7"/>
      <c r="O57" s="37"/>
      <c r="P57" s="37"/>
      <c r="Q57" s="37"/>
      <c r="R57" s="37"/>
      <c r="S57" s="37"/>
      <c r="T57" s="37"/>
      <c r="U57" s="37"/>
      <c r="V57" s="37"/>
    </row>
    <row r="58">
      <c r="A58" s="39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7"/>
      <c r="O58" s="37"/>
      <c r="P58" s="37"/>
      <c r="Q58" s="37"/>
      <c r="R58" s="37"/>
      <c r="S58" s="37"/>
      <c r="T58" s="37"/>
      <c r="U58" s="37"/>
      <c r="V58" s="37"/>
    </row>
    <row r="59">
      <c r="A59" s="39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7"/>
      <c r="O59" s="37"/>
      <c r="P59" s="37"/>
      <c r="Q59" s="37"/>
      <c r="R59" s="37"/>
      <c r="S59" s="37"/>
      <c r="T59" s="37"/>
      <c r="U59" s="37"/>
      <c r="V59" s="37"/>
    </row>
    <row r="60">
      <c r="A60" s="39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7"/>
      <c r="O60" s="37"/>
      <c r="P60" s="37"/>
      <c r="Q60" s="37"/>
      <c r="R60" s="37"/>
      <c r="S60" s="37"/>
      <c r="T60" s="37"/>
      <c r="U60" s="37"/>
      <c r="V60" s="37"/>
    </row>
    <row r="61">
      <c r="A61" s="39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7"/>
      <c r="O61" s="37"/>
      <c r="P61" s="37"/>
      <c r="Q61" s="37"/>
      <c r="R61" s="37"/>
      <c r="S61" s="37"/>
      <c r="T61" s="37"/>
      <c r="U61" s="37"/>
      <c r="V61" s="37"/>
    </row>
    <row r="62">
      <c r="A62" s="39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7"/>
      <c r="O62" s="37"/>
      <c r="P62" s="37"/>
      <c r="Q62" s="37"/>
      <c r="R62" s="37"/>
      <c r="S62" s="37"/>
      <c r="T62" s="37"/>
      <c r="U62" s="37"/>
      <c r="V62" s="37"/>
    </row>
    <row r="63">
      <c r="A63" s="39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7"/>
      <c r="O63" s="37"/>
      <c r="P63" s="37"/>
      <c r="Q63" s="37"/>
      <c r="R63" s="37"/>
      <c r="S63" s="37"/>
      <c r="T63" s="37"/>
      <c r="U63" s="37"/>
      <c r="V63" s="37"/>
    </row>
    <row r="64">
      <c r="A64" s="39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7"/>
      <c r="O64" s="37"/>
      <c r="P64" s="37"/>
      <c r="Q64" s="37"/>
      <c r="R64" s="37"/>
      <c r="S64" s="37"/>
      <c r="T64" s="37"/>
      <c r="U64" s="37"/>
      <c r="V64" s="37"/>
    </row>
    <row r="65">
      <c r="A65" s="39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7"/>
      <c r="O65" s="37"/>
      <c r="P65" s="37"/>
      <c r="Q65" s="37"/>
      <c r="R65" s="37"/>
      <c r="S65" s="37"/>
      <c r="T65" s="37"/>
      <c r="U65" s="37"/>
      <c r="V65" s="37"/>
    </row>
    <row r="66">
      <c r="A66" s="39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7"/>
      <c r="O66" s="37"/>
      <c r="P66" s="37"/>
      <c r="Q66" s="37"/>
      <c r="R66" s="37"/>
      <c r="S66" s="37"/>
      <c r="T66" s="37"/>
      <c r="U66" s="37"/>
      <c r="V66" s="37"/>
    </row>
    <row r="67">
      <c r="A67" s="39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7"/>
      <c r="O67" s="37"/>
      <c r="P67" s="37"/>
      <c r="Q67" s="37"/>
      <c r="R67" s="37"/>
      <c r="S67" s="37"/>
      <c r="T67" s="37"/>
      <c r="U67" s="37"/>
      <c r="V67" s="37"/>
    </row>
    <row r="68">
      <c r="A68" s="39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7"/>
      <c r="O68" s="37"/>
      <c r="P68" s="37"/>
      <c r="Q68" s="37"/>
      <c r="R68" s="37"/>
      <c r="S68" s="37"/>
      <c r="T68" s="37"/>
      <c r="U68" s="37"/>
      <c r="V68" s="37"/>
    </row>
    <row r="69">
      <c r="A69" s="39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7"/>
      <c r="O69" s="37"/>
      <c r="P69" s="37"/>
      <c r="Q69" s="37"/>
      <c r="R69" s="37"/>
      <c r="S69" s="37"/>
      <c r="T69" s="37"/>
      <c r="U69" s="37"/>
      <c r="V69" s="37"/>
    </row>
    <row r="70">
      <c r="A70" s="39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7"/>
      <c r="O70" s="37"/>
      <c r="P70" s="37"/>
      <c r="Q70" s="37"/>
      <c r="R70" s="37"/>
      <c r="S70" s="37"/>
      <c r="T70" s="37"/>
      <c r="U70" s="37"/>
      <c r="V70" s="37"/>
    </row>
    <row r="71">
      <c r="A71" s="39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7"/>
      <c r="O71" s="37"/>
      <c r="P71" s="37"/>
      <c r="Q71" s="37"/>
      <c r="R71" s="37"/>
      <c r="S71" s="37"/>
      <c r="T71" s="37"/>
      <c r="U71" s="37"/>
      <c r="V71" s="37"/>
    </row>
    <row r="72">
      <c r="A72" s="39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7"/>
      <c r="O72" s="37"/>
      <c r="P72" s="37"/>
      <c r="Q72" s="37"/>
      <c r="R72" s="37"/>
      <c r="S72" s="37"/>
      <c r="T72" s="37"/>
      <c r="U72" s="37"/>
      <c r="V72" s="37"/>
    </row>
    <row r="73">
      <c r="A73" s="39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7"/>
      <c r="O73" s="37"/>
      <c r="P73" s="37"/>
      <c r="Q73" s="37"/>
      <c r="R73" s="37"/>
      <c r="S73" s="37"/>
      <c r="T73" s="37"/>
      <c r="U73" s="37"/>
      <c r="V73" s="37"/>
    </row>
    <row r="74">
      <c r="A74" s="39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7"/>
      <c r="O74" s="37"/>
      <c r="P74" s="37"/>
      <c r="Q74" s="37"/>
      <c r="R74" s="37"/>
      <c r="S74" s="37"/>
      <c r="T74" s="37"/>
      <c r="U74" s="37"/>
      <c r="V74" s="37"/>
    </row>
    <row r="75">
      <c r="A75" s="39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7"/>
      <c r="O75" s="37"/>
      <c r="P75" s="37"/>
      <c r="Q75" s="37"/>
      <c r="R75" s="37"/>
      <c r="S75" s="37"/>
      <c r="T75" s="37"/>
      <c r="U75" s="37"/>
      <c r="V75" s="37"/>
    </row>
    <row r="76">
      <c r="A76" s="39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7"/>
      <c r="O76" s="37"/>
      <c r="P76" s="37"/>
      <c r="Q76" s="37"/>
      <c r="R76" s="37"/>
      <c r="S76" s="37"/>
      <c r="T76" s="37"/>
      <c r="U76" s="37"/>
      <c r="V76" s="37"/>
    </row>
    <row r="77">
      <c r="A77" s="39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7"/>
      <c r="O77" s="37"/>
      <c r="P77" s="37"/>
      <c r="Q77" s="37"/>
      <c r="R77" s="37"/>
      <c r="S77" s="37"/>
      <c r="T77" s="37"/>
      <c r="U77" s="37"/>
      <c r="V77" s="37"/>
    </row>
    <row r="78">
      <c r="A78" s="39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7"/>
      <c r="O78" s="37"/>
      <c r="P78" s="37"/>
      <c r="Q78" s="37"/>
      <c r="R78" s="37"/>
      <c r="S78" s="37"/>
      <c r="T78" s="37"/>
      <c r="U78" s="37"/>
      <c r="V78" s="37"/>
    </row>
    <row r="79">
      <c r="A79" s="39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7"/>
      <c r="O79" s="37"/>
      <c r="P79" s="37"/>
      <c r="Q79" s="37"/>
      <c r="R79" s="37"/>
      <c r="S79" s="37"/>
      <c r="T79" s="37"/>
      <c r="U79" s="37"/>
      <c r="V79" s="37"/>
    </row>
    <row r="80">
      <c r="A80" s="39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7"/>
      <c r="O80" s="37"/>
      <c r="P80" s="37"/>
      <c r="Q80" s="37"/>
      <c r="R80" s="37"/>
      <c r="S80" s="37"/>
      <c r="T80" s="37"/>
      <c r="U80" s="37"/>
      <c r="V80" s="37"/>
    </row>
    <row r="81">
      <c r="A81" s="39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7"/>
      <c r="O81" s="37"/>
      <c r="P81" s="37"/>
      <c r="Q81" s="37"/>
      <c r="R81" s="37"/>
      <c r="S81" s="37"/>
      <c r="T81" s="37"/>
      <c r="U81" s="37"/>
      <c r="V81" s="37"/>
    </row>
    <row r="82">
      <c r="A82" s="39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7"/>
      <c r="O82" s="37"/>
      <c r="P82" s="37"/>
      <c r="Q82" s="37"/>
      <c r="R82" s="37"/>
      <c r="S82" s="37"/>
      <c r="T82" s="37"/>
      <c r="U82" s="37"/>
      <c r="V82" s="37"/>
    </row>
    <row r="83">
      <c r="A83" s="39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7"/>
      <c r="O83" s="37"/>
      <c r="P83" s="37"/>
      <c r="Q83" s="37"/>
      <c r="R83" s="37"/>
      <c r="S83" s="37"/>
      <c r="T83" s="37"/>
      <c r="U83" s="37"/>
      <c r="V83" s="37"/>
    </row>
    <row r="84">
      <c r="A84" s="39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7"/>
      <c r="O84" s="37"/>
      <c r="P84" s="37"/>
      <c r="Q84" s="37"/>
      <c r="R84" s="37"/>
      <c r="S84" s="37"/>
      <c r="T84" s="37"/>
      <c r="U84" s="37"/>
      <c r="V84" s="37"/>
    </row>
    <row r="85">
      <c r="A85" s="39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7"/>
      <c r="O85" s="37"/>
      <c r="P85" s="37"/>
      <c r="Q85" s="37"/>
      <c r="R85" s="37"/>
      <c r="S85" s="37"/>
      <c r="T85" s="37"/>
      <c r="U85" s="37"/>
      <c r="V85" s="37"/>
    </row>
    <row r="86">
      <c r="A86" s="39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7"/>
      <c r="O86" s="37"/>
      <c r="P86" s="37"/>
      <c r="Q86" s="37"/>
      <c r="R86" s="37"/>
      <c r="S86" s="37"/>
      <c r="T86" s="37"/>
      <c r="U86" s="37"/>
      <c r="V86" s="37"/>
    </row>
    <row r="87">
      <c r="A87" s="39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7"/>
      <c r="O87" s="37"/>
      <c r="P87" s="37"/>
      <c r="Q87" s="37"/>
      <c r="R87" s="37"/>
      <c r="S87" s="37"/>
      <c r="T87" s="37"/>
      <c r="U87" s="37"/>
      <c r="V87" s="37"/>
    </row>
    <row r="88">
      <c r="A88" s="39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7"/>
      <c r="O88" s="37"/>
      <c r="P88" s="37"/>
      <c r="Q88" s="37"/>
      <c r="R88" s="37"/>
      <c r="S88" s="37"/>
      <c r="T88" s="37"/>
      <c r="U88" s="37"/>
      <c r="V88" s="37"/>
    </row>
    <row r="89">
      <c r="A89" s="39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7"/>
      <c r="O89" s="37"/>
      <c r="P89" s="37"/>
      <c r="Q89" s="37"/>
      <c r="R89" s="37"/>
      <c r="S89" s="37"/>
      <c r="T89" s="37"/>
      <c r="U89" s="37"/>
      <c r="V89" s="37"/>
    </row>
    <row r="90">
      <c r="A90" s="39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7"/>
      <c r="O90" s="37"/>
      <c r="P90" s="37"/>
      <c r="Q90" s="37"/>
      <c r="R90" s="37"/>
      <c r="S90" s="37"/>
      <c r="T90" s="37"/>
      <c r="U90" s="37"/>
      <c r="V90" s="37"/>
    </row>
    <row r="91">
      <c r="A91" s="39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7"/>
      <c r="O91" s="37"/>
      <c r="P91" s="37"/>
      <c r="Q91" s="37"/>
      <c r="R91" s="37"/>
      <c r="S91" s="37"/>
      <c r="T91" s="37"/>
      <c r="U91" s="37"/>
      <c r="V91" s="37"/>
    </row>
    <row r="92">
      <c r="A92" s="39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7"/>
      <c r="O92" s="37"/>
      <c r="P92" s="37"/>
      <c r="Q92" s="37"/>
      <c r="R92" s="37"/>
      <c r="S92" s="37"/>
      <c r="T92" s="37"/>
      <c r="U92" s="37"/>
      <c r="V92" s="37"/>
    </row>
    <row r="93">
      <c r="A93" s="39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7"/>
      <c r="O93" s="37"/>
      <c r="P93" s="37"/>
      <c r="Q93" s="37"/>
      <c r="R93" s="37"/>
      <c r="S93" s="37"/>
      <c r="T93" s="37"/>
      <c r="U93" s="37"/>
      <c r="V93" s="37"/>
    </row>
    <row r="94">
      <c r="A94" s="39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7"/>
      <c r="O94" s="37"/>
      <c r="P94" s="37"/>
      <c r="Q94" s="37"/>
      <c r="R94" s="37"/>
      <c r="S94" s="37"/>
      <c r="T94" s="37"/>
      <c r="U94" s="37"/>
      <c r="V94" s="37"/>
    </row>
    <row r="95">
      <c r="A95" s="39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7"/>
      <c r="O95" s="37"/>
      <c r="P95" s="37"/>
      <c r="Q95" s="37"/>
      <c r="R95" s="37"/>
      <c r="S95" s="37"/>
      <c r="T95" s="37"/>
      <c r="U95" s="37"/>
      <c r="V95" s="37"/>
    </row>
    <row r="96">
      <c r="A96" s="39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7"/>
      <c r="O96" s="37"/>
      <c r="P96" s="37"/>
      <c r="Q96" s="37"/>
      <c r="R96" s="37"/>
      <c r="S96" s="37"/>
      <c r="T96" s="37"/>
      <c r="U96" s="37"/>
      <c r="V96" s="37"/>
    </row>
    <row r="97">
      <c r="A97" s="39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7"/>
      <c r="O97" s="37"/>
      <c r="P97" s="37"/>
      <c r="Q97" s="37"/>
      <c r="R97" s="37"/>
      <c r="S97" s="37"/>
      <c r="T97" s="37"/>
      <c r="U97" s="37"/>
      <c r="V97" s="37"/>
    </row>
    <row r="98">
      <c r="A98" s="39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7"/>
      <c r="O98" s="37"/>
      <c r="P98" s="37"/>
      <c r="Q98" s="37"/>
      <c r="R98" s="37"/>
      <c r="S98" s="37"/>
      <c r="T98" s="37"/>
      <c r="U98" s="37"/>
      <c r="V98" s="37"/>
    </row>
    <row r="99">
      <c r="A99" s="39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7"/>
      <c r="O99" s="37"/>
      <c r="P99" s="37"/>
      <c r="Q99" s="37"/>
      <c r="R99" s="37"/>
      <c r="S99" s="37"/>
      <c r="T99" s="37"/>
      <c r="U99" s="37"/>
      <c r="V99" s="37"/>
    </row>
    <row r="100">
      <c r="A100" s="39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7"/>
      <c r="O100" s="37"/>
      <c r="P100" s="37"/>
      <c r="Q100" s="37"/>
      <c r="R100" s="37"/>
      <c r="S100" s="37"/>
      <c r="T100" s="37"/>
      <c r="U100" s="37"/>
      <c r="V100" s="37"/>
    </row>
    <row r="101">
      <c r="A101" s="39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7"/>
      <c r="O101" s="37"/>
      <c r="P101" s="37"/>
      <c r="Q101" s="37"/>
      <c r="R101" s="37"/>
      <c r="S101" s="37"/>
      <c r="T101" s="37"/>
      <c r="U101" s="37"/>
      <c r="V101" s="37"/>
    </row>
    <row r="102">
      <c r="A102" s="39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7"/>
      <c r="O102" s="37"/>
      <c r="P102" s="37"/>
      <c r="Q102" s="37"/>
      <c r="R102" s="37"/>
      <c r="S102" s="37"/>
      <c r="T102" s="37"/>
      <c r="U102" s="37"/>
      <c r="V102" s="37"/>
    </row>
    <row r="103">
      <c r="A103" s="39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7"/>
      <c r="O103" s="37"/>
      <c r="P103" s="37"/>
      <c r="Q103" s="37"/>
      <c r="R103" s="37"/>
      <c r="S103" s="37"/>
      <c r="T103" s="37"/>
      <c r="U103" s="37"/>
      <c r="V103" s="37"/>
    </row>
    <row r="104">
      <c r="A104" s="39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7"/>
      <c r="O104" s="37"/>
      <c r="P104" s="37"/>
      <c r="Q104" s="37"/>
      <c r="R104" s="37"/>
      <c r="S104" s="37"/>
      <c r="T104" s="37"/>
      <c r="U104" s="37"/>
      <c r="V104" s="37"/>
    </row>
    <row r="105">
      <c r="A105" s="39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7"/>
      <c r="O105" s="37"/>
      <c r="P105" s="37"/>
      <c r="Q105" s="37"/>
      <c r="R105" s="37"/>
      <c r="S105" s="37"/>
      <c r="T105" s="37"/>
      <c r="U105" s="37"/>
      <c r="V105" s="37"/>
    </row>
    <row r="106">
      <c r="A106" s="39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7"/>
      <c r="O106" s="37"/>
      <c r="P106" s="37"/>
      <c r="Q106" s="37"/>
      <c r="R106" s="37"/>
      <c r="S106" s="37"/>
      <c r="T106" s="37"/>
      <c r="U106" s="37"/>
      <c r="V106" s="37"/>
    </row>
    <row r="107">
      <c r="A107" s="39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7"/>
      <c r="O107" s="37"/>
      <c r="P107" s="37"/>
      <c r="Q107" s="37"/>
      <c r="R107" s="37"/>
      <c r="S107" s="37"/>
      <c r="T107" s="37"/>
      <c r="U107" s="37"/>
      <c r="V107" s="37"/>
    </row>
    <row r="108">
      <c r="A108" s="39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7"/>
      <c r="O108" s="37"/>
      <c r="P108" s="37"/>
      <c r="Q108" s="37"/>
      <c r="R108" s="37"/>
      <c r="S108" s="37"/>
      <c r="T108" s="37"/>
      <c r="U108" s="37"/>
      <c r="V108" s="37"/>
    </row>
    <row r="109">
      <c r="A109" s="39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7"/>
      <c r="O109" s="37"/>
      <c r="P109" s="37"/>
      <c r="Q109" s="37"/>
      <c r="R109" s="37"/>
      <c r="S109" s="37"/>
      <c r="T109" s="37"/>
      <c r="U109" s="37"/>
      <c r="V109" s="37"/>
    </row>
    <row r="110">
      <c r="A110" s="39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7"/>
      <c r="O110" s="37"/>
      <c r="P110" s="37"/>
      <c r="Q110" s="37"/>
      <c r="R110" s="37"/>
      <c r="S110" s="37"/>
      <c r="T110" s="37"/>
      <c r="U110" s="37"/>
      <c r="V110" s="37"/>
    </row>
    <row r="111">
      <c r="A111" s="39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7"/>
      <c r="O111" s="37"/>
      <c r="P111" s="37"/>
      <c r="Q111" s="37"/>
      <c r="R111" s="37"/>
      <c r="S111" s="37"/>
      <c r="T111" s="37"/>
      <c r="U111" s="37"/>
      <c r="V111" s="37"/>
    </row>
    <row r="112">
      <c r="A112" s="39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7"/>
      <c r="O112" s="37"/>
      <c r="P112" s="37"/>
      <c r="Q112" s="37"/>
      <c r="R112" s="37"/>
      <c r="S112" s="37"/>
      <c r="T112" s="37"/>
      <c r="U112" s="37"/>
      <c r="V112" s="37"/>
    </row>
    <row r="113">
      <c r="A113" s="39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7"/>
      <c r="O113" s="37"/>
      <c r="P113" s="37"/>
      <c r="Q113" s="37"/>
      <c r="R113" s="37"/>
      <c r="S113" s="37"/>
      <c r="T113" s="37"/>
      <c r="U113" s="37"/>
      <c r="V113" s="37"/>
    </row>
    <row r="114">
      <c r="A114" s="39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7"/>
      <c r="O114" s="37"/>
      <c r="P114" s="37"/>
      <c r="Q114" s="37"/>
      <c r="R114" s="37"/>
      <c r="S114" s="37"/>
      <c r="T114" s="37"/>
      <c r="U114" s="37"/>
      <c r="V114" s="37"/>
    </row>
    <row r="115">
      <c r="A115" s="39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7"/>
      <c r="O115" s="37"/>
      <c r="P115" s="37"/>
      <c r="Q115" s="37"/>
      <c r="R115" s="37"/>
      <c r="S115" s="37"/>
      <c r="T115" s="37"/>
      <c r="U115" s="37"/>
      <c r="V115" s="37"/>
    </row>
    <row r="116">
      <c r="A116" s="39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7"/>
      <c r="O116" s="37"/>
      <c r="P116" s="37"/>
      <c r="Q116" s="37"/>
      <c r="R116" s="37"/>
      <c r="S116" s="37"/>
      <c r="T116" s="37"/>
      <c r="U116" s="37"/>
      <c r="V116" s="37"/>
    </row>
    <row r="117">
      <c r="A117" s="39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7"/>
      <c r="O117" s="37"/>
      <c r="P117" s="37"/>
      <c r="Q117" s="37"/>
      <c r="R117" s="37"/>
      <c r="S117" s="37"/>
      <c r="T117" s="37"/>
      <c r="U117" s="37"/>
      <c r="V117" s="37"/>
    </row>
    <row r="118">
      <c r="A118" s="39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7"/>
      <c r="O118" s="37"/>
      <c r="P118" s="37"/>
      <c r="Q118" s="37"/>
      <c r="R118" s="37"/>
      <c r="S118" s="37"/>
      <c r="T118" s="37"/>
      <c r="U118" s="37"/>
      <c r="V118" s="37"/>
    </row>
    <row r="119">
      <c r="A119" s="39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7"/>
      <c r="O119" s="37"/>
      <c r="P119" s="37"/>
      <c r="Q119" s="37"/>
      <c r="R119" s="37"/>
      <c r="S119" s="37"/>
      <c r="T119" s="37"/>
      <c r="U119" s="37"/>
      <c r="V119" s="37"/>
    </row>
    <row r="120">
      <c r="A120" s="39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7"/>
      <c r="O120" s="37"/>
      <c r="P120" s="37"/>
      <c r="Q120" s="37"/>
      <c r="R120" s="37"/>
      <c r="S120" s="37"/>
      <c r="T120" s="37"/>
      <c r="U120" s="37"/>
      <c r="V120" s="37"/>
    </row>
    <row r="121">
      <c r="A121" s="39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7"/>
      <c r="O121" s="37"/>
      <c r="P121" s="37"/>
      <c r="Q121" s="37"/>
      <c r="R121" s="37"/>
      <c r="S121" s="37"/>
      <c r="T121" s="37"/>
      <c r="U121" s="37"/>
      <c r="V121" s="37"/>
    </row>
    <row r="122">
      <c r="A122" s="39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7"/>
      <c r="O122" s="37"/>
      <c r="P122" s="37"/>
      <c r="Q122" s="37"/>
      <c r="R122" s="37"/>
      <c r="S122" s="37"/>
      <c r="T122" s="37"/>
      <c r="U122" s="37"/>
      <c r="V122" s="37"/>
    </row>
    <row r="123">
      <c r="A123" s="39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7"/>
      <c r="O123" s="37"/>
      <c r="P123" s="37"/>
      <c r="Q123" s="37"/>
      <c r="R123" s="37"/>
      <c r="S123" s="37"/>
      <c r="T123" s="37"/>
      <c r="U123" s="37"/>
      <c r="V123" s="37"/>
    </row>
    <row r="124">
      <c r="A124" s="39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7"/>
      <c r="O124" s="37"/>
      <c r="P124" s="37"/>
      <c r="Q124" s="37"/>
      <c r="R124" s="37"/>
      <c r="S124" s="37"/>
      <c r="T124" s="37"/>
      <c r="U124" s="37"/>
      <c r="V124" s="37"/>
    </row>
    <row r="125">
      <c r="A125" s="39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7"/>
      <c r="O125" s="37"/>
      <c r="P125" s="37"/>
      <c r="Q125" s="37"/>
      <c r="R125" s="37"/>
      <c r="S125" s="37"/>
      <c r="T125" s="37"/>
      <c r="U125" s="37"/>
      <c r="V125" s="37"/>
    </row>
    <row r="126">
      <c r="A126" s="39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7"/>
      <c r="O126" s="37"/>
      <c r="P126" s="37"/>
      <c r="Q126" s="37"/>
      <c r="R126" s="37"/>
      <c r="S126" s="37"/>
      <c r="T126" s="37"/>
      <c r="U126" s="37"/>
      <c r="V126" s="37"/>
    </row>
    <row r="127">
      <c r="A127" s="39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7"/>
      <c r="O127" s="37"/>
      <c r="P127" s="37"/>
      <c r="Q127" s="37"/>
      <c r="R127" s="37"/>
      <c r="S127" s="37"/>
      <c r="T127" s="37"/>
      <c r="U127" s="37"/>
      <c r="V127" s="37"/>
    </row>
    <row r="128">
      <c r="A128" s="39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7"/>
      <c r="O128" s="37"/>
      <c r="P128" s="37"/>
      <c r="Q128" s="37"/>
      <c r="R128" s="37"/>
      <c r="S128" s="37"/>
      <c r="T128" s="37"/>
      <c r="U128" s="37"/>
      <c r="V128" s="37"/>
    </row>
    <row r="129">
      <c r="A129" s="39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7"/>
      <c r="O129" s="37"/>
      <c r="P129" s="37"/>
      <c r="Q129" s="37"/>
      <c r="R129" s="37"/>
      <c r="S129" s="37"/>
      <c r="T129" s="37"/>
      <c r="U129" s="37"/>
      <c r="V129" s="37"/>
    </row>
    <row r="130">
      <c r="A130" s="39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7"/>
      <c r="O130" s="37"/>
      <c r="P130" s="37"/>
      <c r="Q130" s="37"/>
      <c r="R130" s="37"/>
      <c r="S130" s="37"/>
      <c r="T130" s="37"/>
      <c r="U130" s="37"/>
      <c r="V130" s="37"/>
    </row>
    <row r="131">
      <c r="A131" s="39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7"/>
      <c r="O131" s="37"/>
      <c r="P131" s="37"/>
      <c r="Q131" s="37"/>
      <c r="R131" s="37"/>
      <c r="S131" s="37"/>
      <c r="T131" s="37"/>
      <c r="U131" s="37"/>
      <c r="V131" s="37"/>
    </row>
    <row r="132">
      <c r="A132" s="39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7"/>
      <c r="O132" s="37"/>
      <c r="P132" s="37"/>
      <c r="Q132" s="37"/>
      <c r="R132" s="37"/>
      <c r="S132" s="37"/>
      <c r="T132" s="37"/>
      <c r="U132" s="37"/>
      <c r="V132" s="37"/>
    </row>
    <row r="133">
      <c r="A133" s="39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7"/>
      <c r="O133" s="37"/>
      <c r="P133" s="37"/>
      <c r="Q133" s="37"/>
      <c r="R133" s="37"/>
      <c r="S133" s="37"/>
      <c r="T133" s="37"/>
      <c r="U133" s="37"/>
      <c r="V133" s="37"/>
    </row>
    <row r="134">
      <c r="A134" s="39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7"/>
      <c r="O134" s="37"/>
      <c r="P134" s="37"/>
      <c r="Q134" s="37"/>
      <c r="R134" s="37"/>
      <c r="S134" s="37"/>
      <c r="T134" s="37"/>
      <c r="U134" s="37"/>
      <c r="V134" s="37"/>
    </row>
    <row r="135">
      <c r="A135" s="39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7"/>
      <c r="O135" s="37"/>
      <c r="P135" s="37"/>
      <c r="Q135" s="37"/>
      <c r="R135" s="37"/>
      <c r="S135" s="37"/>
      <c r="T135" s="37"/>
      <c r="U135" s="37"/>
      <c r="V135" s="37"/>
    </row>
    <row r="136">
      <c r="A136" s="39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7"/>
      <c r="O136" s="37"/>
      <c r="P136" s="37"/>
      <c r="Q136" s="37"/>
      <c r="R136" s="37"/>
      <c r="S136" s="37"/>
      <c r="T136" s="37"/>
      <c r="U136" s="37"/>
      <c r="V136" s="37"/>
    </row>
    <row r="137">
      <c r="A137" s="39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7"/>
      <c r="O137" s="37"/>
      <c r="P137" s="37"/>
      <c r="Q137" s="37"/>
      <c r="R137" s="37"/>
      <c r="S137" s="37"/>
      <c r="T137" s="37"/>
      <c r="U137" s="37"/>
      <c r="V137" s="37"/>
    </row>
    <row r="138">
      <c r="A138" s="39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7"/>
      <c r="O138" s="37"/>
      <c r="P138" s="37"/>
      <c r="Q138" s="37"/>
      <c r="R138" s="37"/>
      <c r="S138" s="37"/>
      <c r="T138" s="37"/>
      <c r="U138" s="37"/>
      <c r="V138" s="37"/>
    </row>
    <row r="139">
      <c r="A139" s="39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7"/>
      <c r="O139" s="37"/>
      <c r="P139" s="37"/>
      <c r="Q139" s="37"/>
      <c r="R139" s="37"/>
      <c r="S139" s="37"/>
      <c r="T139" s="37"/>
      <c r="U139" s="37"/>
      <c r="V139" s="37"/>
    </row>
    <row r="140">
      <c r="A140" s="39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7"/>
      <c r="O140" s="37"/>
      <c r="P140" s="37"/>
      <c r="Q140" s="37"/>
      <c r="R140" s="37"/>
      <c r="S140" s="37"/>
      <c r="T140" s="37"/>
      <c r="U140" s="37"/>
      <c r="V140" s="37"/>
    </row>
    <row r="141">
      <c r="A141" s="39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7"/>
      <c r="O141" s="37"/>
      <c r="P141" s="37"/>
      <c r="Q141" s="37"/>
      <c r="R141" s="37"/>
      <c r="S141" s="37"/>
      <c r="T141" s="37"/>
      <c r="U141" s="37"/>
      <c r="V141" s="37"/>
    </row>
    <row r="142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7"/>
      <c r="O142" s="37"/>
      <c r="P142" s="37"/>
      <c r="Q142" s="37"/>
      <c r="R142" s="37"/>
      <c r="S142" s="37"/>
      <c r="T142" s="37"/>
      <c r="U142" s="37"/>
      <c r="V142" s="37"/>
    </row>
    <row r="143">
      <c r="A143" s="39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7"/>
      <c r="O143" s="37"/>
      <c r="P143" s="37"/>
      <c r="Q143" s="37"/>
      <c r="R143" s="37"/>
      <c r="S143" s="37"/>
      <c r="T143" s="37"/>
      <c r="U143" s="37"/>
      <c r="V143" s="37"/>
    </row>
    <row r="144">
      <c r="A144" s="39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7"/>
      <c r="O144" s="37"/>
      <c r="P144" s="37"/>
      <c r="Q144" s="37"/>
      <c r="R144" s="37"/>
      <c r="S144" s="37"/>
      <c r="T144" s="37"/>
      <c r="U144" s="37"/>
      <c r="V144" s="37"/>
    </row>
    <row r="145">
      <c r="A145" s="39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7"/>
      <c r="O145" s="37"/>
      <c r="P145" s="37"/>
      <c r="Q145" s="37"/>
      <c r="R145" s="37"/>
      <c r="S145" s="37"/>
      <c r="T145" s="37"/>
      <c r="U145" s="37"/>
      <c r="V145" s="37"/>
    </row>
    <row r="146">
      <c r="A146" s="39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7"/>
      <c r="O146" s="37"/>
      <c r="P146" s="37"/>
      <c r="Q146" s="37"/>
      <c r="R146" s="37"/>
      <c r="S146" s="37"/>
      <c r="T146" s="37"/>
      <c r="U146" s="37"/>
      <c r="V146" s="37"/>
    </row>
    <row r="147">
      <c r="A147" s="39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7"/>
      <c r="O147" s="37"/>
      <c r="P147" s="37"/>
      <c r="Q147" s="37"/>
      <c r="R147" s="37"/>
      <c r="S147" s="37"/>
      <c r="T147" s="37"/>
      <c r="U147" s="37"/>
      <c r="V147" s="37"/>
    </row>
    <row r="148">
      <c r="A148" s="39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7"/>
      <c r="O148" s="37"/>
      <c r="P148" s="37"/>
      <c r="Q148" s="37"/>
      <c r="R148" s="37"/>
      <c r="S148" s="37"/>
      <c r="T148" s="37"/>
      <c r="U148" s="37"/>
      <c r="V148" s="37"/>
    </row>
    <row r="149">
      <c r="A149" s="39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7"/>
      <c r="O149" s="37"/>
      <c r="P149" s="37"/>
      <c r="Q149" s="37"/>
      <c r="R149" s="37"/>
      <c r="S149" s="37"/>
      <c r="T149" s="37"/>
      <c r="U149" s="37"/>
      <c r="V149" s="37"/>
    </row>
    <row r="150">
      <c r="A150" s="39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7"/>
      <c r="O150" s="37"/>
      <c r="P150" s="37"/>
      <c r="Q150" s="37"/>
      <c r="R150" s="37"/>
      <c r="S150" s="37"/>
      <c r="T150" s="37"/>
      <c r="U150" s="37"/>
      <c r="V150" s="37"/>
    </row>
    <row r="151">
      <c r="A151" s="39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7"/>
      <c r="O151" s="37"/>
      <c r="P151" s="37"/>
      <c r="Q151" s="37"/>
      <c r="R151" s="37"/>
      <c r="S151" s="37"/>
      <c r="T151" s="37"/>
      <c r="U151" s="37"/>
      <c r="V151" s="37"/>
    </row>
    <row r="152">
      <c r="A152" s="39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7"/>
      <c r="O152" s="37"/>
      <c r="P152" s="37"/>
      <c r="Q152" s="37"/>
      <c r="R152" s="37"/>
      <c r="S152" s="37"/>
      <c r="T152" s="37"/>
      <c r="U152" s="37"/>
      <c r="V152" s="37"/>
    </row>
    <row r="153">
      <c r="A153" s="39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7"/>
      <c r="O153" s="37"/>
      <c r="P153" s="37"/>
      <c r="Q153" s="37"/>
      <c r="R153" s="37"/>
      <c r="S153" s="37"/>
      <c r="T153" s="37"/>
      <c r="U153" s="37"/>
      <c r="V153" s="37"/>
    </row>
    <row r="154">
      <c r="A154" s="39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7"/>
      <c r="O154" s="37"/>
      <c r="P154" s="37"/>
      <c r="Q154" s="37"/>
      <c r="R154" s="37"/>
      <c r="S154" s="37"/>
      <c r="T154" s="37"/>
      <c r="U154" s="37"/>
      <c r="V154" s="37"/>
    </row>
    <row r="155">
      <c r="A155" s="39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7"/>
      <c r="O155" s="37"/>
      <c r="P155" s="37"/>
      <c r="Q155" s="37"/>
      <c r="R155" s="37"/>
      <c r="S155" s="37"/>
      <c r="T155" s="37"/>
      <c r="U155" s="37"/>
      <c r="V155" s="37"/>
    </row>
    <row r="156">
      <c r="A156" s="39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7"/>
      <c r="O156" s="37"/>
      <c r="P156" s="37"/>
      <c r="Q156" s="37"/>
      <c r="R156" s="37"/>
      <c r="S156" s="37"/>
      <c r="T156" s="37"/>
      <c r="U156" s="37"/>
      <c r="V156" s="37"/>
    </row>
    <row r="157">
      <c r="A157" s="39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7"/>
      <c r="O157" s="37"/>
      <c r="P157" s="37"/>
      <c r="Q157" s="37"/>
      <c r="R157" s="37"/>
      <c r="S157" s="37"/>
      <c r="T157" s="37"/>
      <c r="U157" s="37"/>
      <c r="V157" s="37"/>
    </row>
    <row r="158">
      <c r="A158" s="39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7"/>
      <c r="O158" s="37"/>
      <c r="P158" s="37"/>
      <c r="Q158" s="37"/>
      <c r="R158" s="37"/>
      <c r="S158" s="37"/>
      <c r="T158" s="37"/>
      <c r="U158" s="37"/>
      <c r="V158" s="37"/>
    </row>
    <row r="159">
      <c r="A159" s="39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7"/>
      <c r="O159" s="37"/>
      <c r="P159" s="37"/>
      <c r="Q159" s="37"/>
      <c r="R159" s="37"/>
      <c r="S159" s="37"/>
      <c r="T159" s="37"/>
      <c r="U159" s="37"/>
      <c r="V159" s="37"/>
    </row>
    <row r="160">
      <c r="A160" s="39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7"/>
      <c r="O160" s="37"/>
      <c r="P160" s="37"/>
      <c r="Q160" s="37"/>
      <c r="R160" s="37"/>
      <c r="S160" s="37"/>
      <c r="T160" s="37"/>
      <c r="U160" s="37"/>
      <c r="V160" s="37"/>
    </row>
    <row r="161">
      <c r="A161" s="39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7"/>
      <c r="O161" s="37"/>
      <c r="P161" s="37"/>
      <c r="Q161" s="37"/>
      <c r="R161" s="37"/>
      <c r="S161" s="37"/>
      <c r="T161" s="37"/>
      <c r="U161" s="37"/>
      <c r="V161" s="37"/>
    </row>
    <row r="162">
      <c r="A162" s="39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7"/>
      <c r="O162" s="37"/>
      <c r="P162" s="37"/>
      <c r="Q162" s="37"/>
      <c r="R162" s="37"/>
      <c r="S162" s="37"/>
      <c r="T162" s="37"/>
      <c r="U162" s="37"/>
      <c r="V162" s="37"/>
    </row>
    <row r="163">
      <c r="A163" s="39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7"/>
      <c r="O163" s="37"/>
      <c r="P163" s="37"/>
      <c r="Q163" s="37"/>
      <c r="R163" s="37"/>
      <c r="S163" s="37"/>
      <c r="T163" s="37"/>
      <c r="U163" s="37"/>
      <c r="V163" s="37"/>
    </row>
    <row r="164">
      <c r="A164" s="39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7"/>
      <c r="O164" s="37"/>
      <c r="P164" s="37"/>
      <c r="Q164" s="37"/>
      <c r="R164" s="37"/>
      <c r="S164" s="37"/>
      <c r="T164" s="37"/>
      <c r="U164" s="37"/>
      <c r="V164" s="37"/>
    </row>
    <row r="165">
      <c r="A165" s="39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7"/>
      <c r="O165" s="37"/>
      <c r="P165" s="37"/>
      <c r="Q165" s="37"/>
      <c r="R165" s="37"/>
      <c r="S165" s="37"/>
      <c r="T165" s="37"/>
      <c r="U165" s="37"/>
      <c r="V165" s="37"/>
    </row>
    <row r="166">
      <c r="A166" s="39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7"/>
      <c r="O166" s="37"/>
      <c r="P166" s="37"/>
      <c r="Q166" s="37"/>
      <c r="R166" s="37"/>
      <c r="S166" s="37"/>
      <c r="T166" s="37"/>
      <c r="U166" s="37"/>
      <c r="V166" s="37"/>
    </row>
    <row r="167">
      <c r="A167" s="39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7"/>
      <c r="O167" s="37"/>
      <c r="P167" s="37"/>
      <c r="Q167" s="37"/>
      <c r="R167" s="37"/>
      <c r="S167" s="37"/>
      <c r="T167" s="37"/>
      <c r="U167" s="37"/>
      <c r="V167" s="37"/>
    </row>
    <row r="168">
      <c r="A168" s="39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7"/>
      <c r="O168" s="37"/>
      <c r="P168" s="37"/>
      <c r="Q168" s="37"/>
      <c r="R168" s="37"/>
      <c r="S168" s="37"/>
      <c r="T168" s="37"/>
      <c r="U168" s="37"/>
      <c r="V168" s="37"/>
    </row>
    <row r="169">
      <c r="A169" s="39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7"/>
      <c r="O169" s="37"/>
      <c r="P169" s="37"/>
      <c r="Q169" s="37"/>
      <c r="R169" s="37"/>
      <c r="S169" s="37"/>
      <c r="T169" s="37"/>
      <c r="U169" s="37"/>
      <c r="V169" s="37"/>
    </row>
    <row r="170">
      <c r="A170" s="39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7"/>
      <c r="O170" s="37"/>
      <c r="P170" s="37"/>
      <c r="Q170" s="37"/>
      <c r="R170" s="37"/>
      <c r="S170" s="37"/>
      <c r="T170" s="37"/>
      <c r="U170" s="37"/>
      <c r="V170" s="37"/>
    </row>
    <row r="171">
      <c r="A171" s="39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7"/>
      <c r="O171" s="37"/>
      <c r="P171" s="37"/>
      <c r="Q171" s="37"/>
      <c r="R171" s="37"/>
      <c r="S171" s="37"/>
      <c r="T171" s="37"/>
      <c r="U171" s="37"/>
      <c r="V171" s="37"/>
    </row>
    <row r="172">
      <c r="A172" s="39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7"/>
      <c r="O172" s="37"/>
      <c r="P172" s="37"/>
      <c r="Q172" s="37"/>
      <c r="R172" s="37"/>
      <c r="S172" s="37"/>
      <c r="T172" s="37"/>
      <c r="U172" s="37"/>
      <c r="V172" s="37"/>
    </row>
    <row r="173">
      <c r="A173" s="39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7"/>
      <c r="O173" s="37"/>
      <c r="P173" s="37"/>
      <c r="Q173" s="37"/>
      <c r="R173" s="37"/>
      <c r="S173" s="37"/>
      <c r="T173" s="37"/>
      <c r="U173" s="37"/>
      <c r="V173" s="37"/>
    </row>
    <row r="174">
      <c r="A174" s="39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7"/>
      <c r="O174" s="37"/>
      <c r="P174" s="37"/>
      <c r="Q174" s="37"/>
      <c r="R174" s="37"/>
      <c r="S174" s="37"/>
      <c r="T174" s="37"/>
      <c r="U174" s="37"/>
      <c r="V174" s="37"/>
    </row>
    <row r="175">
      <c r="A175" s="39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7"/>
      <c r="O175" s="37"/>
      <c r="P175" s="37"/>
      <c r="Q175" s="37"/>
      <c r="R175" s="37"/>
      <c r="S175" s="37"/>
      <c r="T175" s="37"/>
      <c r="U175" s="37"/>
      <c r="V175" s="37"/>
    </row>
    <row r="176">
      <c r="A176" s="39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7"/>
      <c r="O176" s="37"/>
      <c r="P176" s="37"/>
      <c r="Q176" s="37"/>
      <c r="R176" s="37"/>
      <c r="S176" s="37"/>
      <c r="T176" s="37"/>
      <c r="U176" s="37"/>
      <c r="V176" s="37"/>
    </row>
    <row r="177">
      <c r="A177" s="39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7"/>
      <c r="O177" s="37"/>
      <c r="P177" s="37"/>
      <c r="Q177" s="37"/>
      <c r="R177" s="37"/>
      <c r="S177" s="37"/>
      <c r="T177" s="37"/>
      <c r="U177" s="37"/>
      <c r="V177" s="37"/>
    </row>
    <row r="178">
      <c r="A178" s="39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7"/>
      <c r="O178" s="37"/>
      <c r="P178" s="37"/>
      <c r="Q178" s="37"/>
      <c r="R178" s="37"/>
      <c r="S178" s="37"/>
      <c r="T178" s="37"/>
      <c r="U178" s="37"/>
      <c r="V178" s="37"/>
    </row>
    <row r="179">
      <c r="A179" s="39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7"/>
      <c r="O179" s="37"/>
      <c r="P179" s="37"/>
      <c r="Q179" s="37"/>
      <c r="R179" s="37"/>
      <c r="S179" s="37"/>
      <c r="T179" s="37"/>
      <c r="U179" s="37"/>
      <c r="V179" s="37"/>
    </row>
    <row r="180">
      <c r="A180" s="39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7"/>
      <c r="O180" s="37"/>
      <c r="P180" s="37"/>
      <c r="Q180" s="37"/>
      <c r="R180" s="37"/>
      <c r="S180" s="37"/>
      <c r="T180" s="37"/>
      <c r="U180" s="37"/>
      <c r="V180" s="37"/>
    </row>
    <row r="181">
      <c r="A181" s="39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7"/>
      <c r="O181" s="37"/>
      <c r="P181" s="37"/>
      <c r="Q181" s="37"/>
      <c r="R181" s="37"/>
      <c r="S181" s="37"/>
      <c r="T181" s="37"/>
      <c r="U181" s="37"/>
      <c r="V181" s="37"/>
    </row>
    <row r="182">
      <c r="A182" s="39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7"/>
      <c r="O182" s="37"/>
      <c r="P182" s="37"/>
      <c r="Q182" s="37"/>
      <c r="R182" s="37"/>
      <c r="S182" s="37"/>
      <c r="T182" s="37"/>
      <c r="U182" s="37"/>
      <c r="V182" s="37"/>
    </row>
    <row r="183">
      <c r="A183" s="39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7"/>
      <c r="O183" s="37"/>
      <c r="P183" s="37"/>
      <c r="Q183" s="37"/>
      <c r="R183" s="37"/>
      <c r="S183" s="37"/>
      <c r="T183" s="37"/>
      <c r="U183" s="37"/>
      <c r="V183" s="37"/>
    </row>
    <row r="184">
      <c r="A184" s="39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7"/>
      <c r="O184" s="37"/>
      <c r="P184" s="37"/>
      <c r="Q184" s="37"/>
      <c r="R184" s="37"/>
      <c r="S184" s="37"/>
      <c r="T184" s="37"/>
      <c r="U184" s="37"/>
      <c r="V184" s="37"/>
    </row>
    <row r="185">
      <c r="A185" s="39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7"/>
      <c r="O185" s="37"/>
      <c r="P185" s="37"/>
      <c r="Q185" s="37"/>
      <c r="R185" s="37"/>
      <c r="S185" s="37"/>
      <c r="T185" s="37"/>
      <c r="U185" s="37"/>
      <c r="V185" s="37"/>
    </row>
    <row r="186">
      <c r="A186" s="39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7"/>
      <c r="O186" s="37"/>
      <c r="P186" s="37"/>
      <c r="Q186" s="37"/>
      <c r="R186" s="37"/>
      <c r="S186" s="37"/>
      <c r="T186" s="37"/>
      <c r="U186" s="37"/>
      <c r="V186" s="37"/>
    </row>
    <row r="187">
      <c r="A187" s="39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7"/>
      <c r="O187" s="37"/>
      <c r="P187" s="37"/>
      <c r="Q187" s="37"/>
      <c r="R187" s="37"/>
      <c r="S187" s="37"/>
      <c r="T187" s="37"/>
      <c r="U187" s="37"/>
      <c r="V187" s="37"/>
    </row>
    <row r="188">
      <c r="A188" s="39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7"/>
      <c r="O188" s="37"/>
      <c r="P188" s="37"/>
      <c r="Q188" s="37"/>
      <c r="R188" s="37"/>
      <c r="S188" s="37"/>
      <c r="T188" s="37"/>
      <c r="U188" s="37"/>
      <c r="V188" s="37"/>
    </row>
    <row r="189">
      <c r="A189" s="39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7"/>
      <c r="O189" s="37"/>
      <c r="P189" s="37"/>
      <c r="Q189" s="37"/>
      <c r="R189" s="37"/>
      <c r="S189" s="37"/>
      <c r="T189" s="37"/>
      <c r="U189" s="37"/>
      <c r="V189" s="37"/>
    </row>
    <row r="190">
      <c r="A190" s="39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7"/>
      <c r="O190" s="37"/>
      <c r="P190" s="37"/>
      <c r="Q190" s="37"/>
      <c r="R190" s="37"/>
      <c r="S190" s="37"/>
      <c r="T190" s="37"/>
      <c r="U190" s="37"/>
      <c r="V190" s="37"/>
    </row>
    <row r="191">
      <c r="A191" s="39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7"/>
      <c r="O191" s="37"/>
      <c r="P191" s="37"/>
      <c r="Q191" s="37"/>
      <c r="R191" s="37"/>
      <c r="S191" s="37"/>
      <c r="T191" s="37"/>
      <c r="U191" s="37"/>
      <c r="V191" s="37"/>
    </row>
    <row r="192">
      <c r="A192" s="39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7"/>
      <c r="O192" s="37"/>
      <c r="P192" s="37"/>
      <c r="Q192" s="37"/>
      <c r="R192" s="37"/>
      <c r="S192" s="37"/>
      <c r="T192" s="37"/>
      <c r="U192" s="37"/>
      <c r="V192" s="37"/>
    </row>
    <row r="193">
      <c r="A193" s="39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7"/>
      <c r="O193" s="37"/>
      <c r="P193" s="37"/>
      <c r="Q193" s="37"/>
      <c r="R193" s="37"/>
      <c r="S193" s="37"/>
      <c r="T193" s="37"/>
      <c r="U193" s="37"/>
      <c r="V193" s="37"/>
    </row>
    <row r="194">
      <c r="A194" s="39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7"/>
      <c r="O194" s="37"/>
      <c r="P194" s="37"/>
      <c r="Q194" s="37"/>
      <c r="R194" s="37"/>
      <c r="S194" s="37"/>
      <c r="T194" s="37"/>
      <c r="U194" s="37"/>
      <c r="V194" s="37"/>
    </row>
    <row r="195">
      <c r="A195" s="39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7"/>
      <c r="O195" s="37"/>
      <c r="P195" s="37"/>
      <c r="Q195" s="37"/>
      <c r="R195" s="37"/>
      <c r="S195" s="37"/>
      <c r="T195" s="37"/>
      <c r="U195" s="37"/>
      <c r="V195" s="37"/>
    </row>
    <row r="196">
      <c r="A196" s="39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7"/>
      <c r="O196" s="37"/>
      <c r="P196" s="37"/>
      <c r="Q196" s="37"/>
      <c r="R196" s="37"/>
      <c r="S196" s="37"/>
      <c r="T196" s="37"/>
      <c r="U196" s="37"/>
      <c r="V196" s="37"/>
    </row>
    <row r="197">
      <c r="A197" s="39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7"/>
      <c r="O197" s="37"/>
      <c r="P197" s="37"/>
      <c r="Q197" s="37"/>
      <c r="R197" s="37"/>
      <c r="S197" s="37"/>
      <c r="T197" s="37"/>
      <c r="U197" s="37"/>
      <c r="V197" s="37"/>
    </row>
    <row r="198">
      <c r="A198" s="39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7"/>
      <c r="O198" s="37"/>
      <c r="P198" s="37"/>
      <c r="Q198" s="37"/>
      <c r="R198" s="37"/>
      <c r="S198" s="37"/>
      <c r="T198" s="37"/>
      <c r="U198" s="37"/>
      <c r="V198" s="37"/>
    </row>
    <row r="199">
      <c r="A199" s="39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7"/>
      <c r="O199" s="37"/>
      <c r="P199" s="37"/>
      <c r="Q199" s="37"/>
      <c r="R199" s="37"/>
      <c r="S199" s="37"/>
      <c r="T199" s="37"/>
      <c r="U199" s="37"/>
      <c r="V199" s="37"/>
    </row>
    <row r="200">
      <c r="A200" s="39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7"/>
      <c r="O200" s="37"/>
      <c r="P200" s="37"/>
      <c r="Q200" s="37"/>
      <c r="R200" s="37"/>
      <c r="S200" s="37"/>
      <c r="T200" s="37"/>
      <c r="U200" s="37"/>
      <c r="V200" s="37"/>
    </row>
    <row r="201">
      <c r="A201" s="39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7"/>
      <c r="O201" s="37"/>
      <c r="P201" s="37"/>
      <c r="Q201" s="37"/>
      <c r="R201" s="37"/>
      <c r="S201" s="37"/>
      <c r="T201" s="37"/>
      <c r="U201" s="37"/>
      <c r="V201" s="37"/>
    </row>
    <row r="202">
      <c r="A202" s="39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7"/>
      <c r="O202" s="37"/>
      <c r="P202" s="37"/>
      <c r="Q202" s="37"/>
      <c r="R202" s="37"/>
      <c r="S202" s="37"/>
      <c r="T202" s="37"/>
      <c r="U202" s="37"/>
      <c r="V202" s="37"/>
    </row>
    <row r="203">
      <c r="A203" s="39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7"/>
      <c r="O203" s="37"/>
      <c r="P203" s="37"/>
      <c r="Q203" s="37"/>
      <c r="R203" s="37"/>
      <c r="S203" s="37"/>
      <c r="T203" s="37"/>
      <c r="U203" s="37"/>
      <c r="V203" s="37"/>
    </row>
    <row r="204">
      <c r="A204" s="39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7"/>
      <c r="O204" s="37"/>
      <c r="P204" s="37"/>
      <c r="Q204" s="37"/>
      <c r="R204" s="37"/>
      <c r="S204" s="37"/>
      <c r="T204" s="37"/>
      <c r="U204" s="37"/>
      <c r="V204" s="37"/>
    </row>
    <row r="205">
      <c r="A205" s="39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7"/>
      <c r="O205" s="37"/>
      <c r="P205" s="37"/>
      <c r="Q205" s="37"/>
      <c r="R205" s="37"/>
      <c r="S205" s="37"/>
      <c r="T205" s="37"/>
      <c r="U205" s="37"/>
      <c r="V205" s="37"/>
    </row>
    <row r="206">
      <c r="A206" s="39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7"/>
      <c r="O206" s="37"/>
      <c r="P206" s="37"/>
      <c r="Q206" s="37"/>
      <c r="R206" s="37"/>
      <c r="S206" s="37"/>
      <c r="T206" s="37"/>
      <c r="U206" s="37"/>
      <c r="V206" s="37"/>
    </row>
    <row r="207">
      <c r="A207" s="39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7"/>
      <c r="O207" s="37"/>
      <c r="P207" s="37"/>
      <c r="Q207" s="37"/>
      <c r="R207" s="37"/>
      <c r="S207" s="37"/>
      <c r="T207" s="37"/>
      <c r="U207" s="37"/>
      <c r="V207" s="37"/>
    </row>
    <row r="208">
      <c r="A208" s="39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7"/>
      <c r="O208" s="37"/>
      <c r="P208" s="37"/>
      <c r="Q208" s="37"/>
      <c r="R208" s="37"/>
      <c r="S208" s="37"/>
      <c r="T208" s="37"/>
      <c r="U208" s="37"/>
      <c r="V208" s="37"/>
    </row>
    <row r="209">
      <c r="A209" s="39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7"/>
      <c r="O209" s="37"/>
      <c r="P209" s="37"/>
      <c r="Q209" s="37"/>
      <c r="R209" s="37"/>
      <c r="S209" s="37"/>
      <c r="T209" s="37"/>
      <c r="U209" s="37"/>
      <c r="V209" s="37"/>
    </row>
    <row r="210">
      <c r="A210" s="39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7"/>
      <c r="O210" s="37"/>
      <c r="P210" s="37"/>
      <c r="Q210" s="37"/>
      <c r="R210" s="37"/>
      <c r="S210" s="37"/>
      <c r="T210" s="37"/>
      <c r="U210" s="37"/>
      <c r="V210" s="37"/>
    </row>
    <row r="211">
      <c r="A211" s="39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7"/>
      <c r="O211" s="37"/>
      <c r="P211" s="37"/>
      <c r="Q211" s="37"/>
      <c r="R211" s="37"/>
      <c r="S211" s="37"/>
      <c r="T211" s="37"/>
      <c r="U211" s="37"/>
      <c r="V211" s="37"/>
    </row>
    <row r="212">
      <c r="A212" s="39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7"/>
      <c r="O212" s="37"/>
      <c r="P212" s="37"/>
      <c r="Q212" s="37"/>
      <c r="R212" s="37"/>
      <c r="S212" s="37"/>
      <c r="T212" s="37"/>
      <c r="U212" s="37"/>
      <c r="V212" s="37"/>
    </row>
    <row r="213">
      <c r="A213" s="39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7"/>
      <c r="O213" s="37"/>
      <c r="P213" s="37"/>
      <c r="Q213" s="37"/>
      <c r="R213" s="37"/>
      <c r="S213" s="37"/>
      <c r="T213" s="37"/>
      <c r="U213" s="37"/>
      <c r="V213" s="37"/>
    </row>
    <row r="214">
      <c r="A214" s="39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7"/>
      <c r="O214" s="37"/>
      <c r="P214" s="37"/>
      <c r="Q214" s="37"/>
      <c r="R214" s="37"/>
      <c r="S214" s="37"/>
      <c r="T214" s="37"/>
      <c r="U214" s="37"/>
      <c r="V214" s="37"/>
    </row>
    <row r="215">
      <c r="A215" s="39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7"/>
      <c r="O215" s="37"/>
      <c r="P215" s="37"/>
      <c r="Q215" s="37"/>
      <c r="R215" s="37"/>
      <c r="S215" s="37"/>
      <c r="T215" s="37"/>
      <c r="U215" s="37"/>
      <c r="V215" s="37"/>
    </row>
    <row r="216">
      <c r="A216" s="39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7"/>
      <c r="O216" s="37"/>
      <c r="P216" s="37"/>
      <c r="Q216" s="37"/>
      <c r="R216" s="37"/>
      <c r="S216" s="37"/>
      <c r="T216" s="37"/>
      <c r="U216" s="37"/>
      <c r="V216" s="37"/>
    </row>
    <row r="217">
      <c r="A217" s="39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7"/>
      <c r="O217" s="37"/>
      <c r="P217" s="37"/>
      <c r="Q217" s="37"/>
      <c r="R217" s="37"/>
      <c r="S217" s="37"/>
      <c r="T217" s="37"/>
      <c r="U217" s="37"/>
      <c r="V217" s="37"/>
    </row>
    <row r="218">
      <c r="A218" s="39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7"/>
      <c r="O218" s="37"/>
      <c r="P218" s="37"/>
      <c r="Q218" s="37"/>
      <c r="R218" s="37"/>
      <c r="S218" s="37"/>
      <c r="T218" s="37"/>
      <c r="U218" s="37"/>
      <c r="V218" s="37"/>
    </row>
    <row r="219">
      <c r="A219" s="39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7"/>
      <c r="O219" s="37"/>
      <c r="P219" s="37"/>
      <c r="Q219" s="37"/>
      <c r="R219" s="37"/>
      <c r="S219" s="37"/>
      <c r="T219" s="37"/>
      <c r="U219" s="37"/>
      <c r="V219" s="37"/>
    </row>
    <row r="220">
      <c r="A220" s="39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7"/>
      <c r="O220" s="37"/>
      <c r="P220" s="37"/>
      <c r="Q220" s="37"/>
      <c r="R220" s="37"/>
      <c r="S220" s="37"/>
      <c r="T220" s="37"/>
      <c r="U220" s="37"/>
      <c r="V220" s="37"/>
    </row>
    <row r="221">
      <c r="A221" s="39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7"/>
      <c r="O221" s="37"/>
      <c r="P221" s="37"/>
      <c r="Q221" s="37"/>
      <c r="R221" s="37"/>
      <c r="S221" s="37"/>
      <c r="T221" s="37"/>
      <c r="U221" s="37"/>
      <c r="V221" s="37"/>
    </row>
    <row r="222">
      <c r="A222" s="39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7"/>
      <c r="O222" s="37"/>
      <c r="P222" s="37"/>
      <c r="Q222" s="37"/>
      <c r="R222" s="37"/>
      <c r="S222" s="37"/>
      <c r="T222" s="37"/>
      <c r="U222" s="37"/>
      <c r="V222" s="37"/>
    </row>
    <row r="223">
      <c r="A223" s="39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7"/>
      <c r="O223" s="37"/>
      <c r="P223" s="37"/>
      <c r="Q223" s="37"/>
      <c r="R223" s="37"/>
      <c r="S223" s="37"/>
      <c r="T223" s="37"/>
      <c r="U223" s="37"/>
      <c r="V223" s="37"/>
    </row>
    <row r="224">
      <c r="A224" s="39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7"/>
      <c r="O224" s="37"/>
      <c r="P224" s="37"/>
      <c r="Q224" s="37"/>
      <c r="R224" s="37"/>
      <c r="S224" s="37"/>
      <c r="T224" s="37"/>
      <c r="U224" s="37"/>
      <c r="V224" s="37"/>
    </row>
    <row r="225">
      <c r="A225" s="39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7"/>
      <c r="O225" s="37"/>
      <c r="P225" s="37"/>
      <c r="Q225" s="37"/>
      <c r="R225" s="37"/>
      <c r="S225" s="37"/>
      <c r="T225" s="37"/>
      <c r="U225" s="37"/>
      <c r="V225" s="37"/>
    </row>
    <row r="226">
      <c r="A226" s="39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7"/>
      <c r="O226" s="37"/>
      <c r="P226" s="37"/>
      <c r="Q226" s="37"/>
      <c r="R226" s="37"/>
      <c r="S226" s="37"/>
      <c r="T226" s="37"/>
      <c r="U226" s="37"/>
      <c r="V226" s="37"/>
    </row>
    <row r="227">
      <c r="A227" s="39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7"/>
      <c r="O227" s="37"/>
      <c r="P227" s="37"/>
      <c r="Q227" s="37"/>
      <c r="R227" s="37"/>
      <c r="S227" s="37"/>
      <c r="T227" s="37"/>
      <c r="U227" s="37"/>
      <c r="V227" s="37"/>
    </row>
    <row r="228">
      <c r="A228" s="39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7"/>
      <c r="O228" s="37"/>
      <c r="P228" s="37"/>
      <c r="Q228" s="37"/>
      <c r="R228" s="37"/>
      <c r="S228" s="37"/>
      <c r="T228" s="37"/>
      <c r="U228" s="37"/>
      <c r="V228" s="37"/>
    </row>
    <row r="229">
      <c r="A229" s="39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7"/>
      <c r="O229" s="37"/>
      <c r="P229" s="37"/>
      <c r="Q229" s="37"/>
      <c r="R229" s="37"/>
      <c r="S229" s="37"/>
      <c r="T229" s="37"/>
      <c r="U229" s="37"/>
      <c r="V229" s="37"/>
    </row>
    <row r="230">
      <c r="A230" s="39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7"/>
      <c r="O230" s="37"/>
      <c r="P230" s="37"/>
      <c r="Q230" s="37"/>
      <c r="R230" s="37"/>
      <c r="S230" s="37"/>
      <c r="T230" s="37"/>
      <c r="U230" s="37"/>
      <c r="V230" s="37"/>
    </row>
    <row r="231">
      <c r="A231" s="39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7"/>
      <c r="O231" s="37"/>
      <c r="P231" s="37"/>
      <c r="Q231" s="37"/>
      <c r="R231" s="37"/>
      <c r="S231" s="37"/>
      <c r="T231" s="37"/>
      <c r="U231" s="37"/>
      <c r="V231" s="37"/>
    </row>
    <row r="232">
      <c r="A232" s="39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7"/>
      <c r="O232" s="37"/>
      <c r="P232" s="37"/>
      <c r="Q232" s="37"/>
      <c r="R232" s="37"/>
      <c r="S232" s="37"/>
      <c r="T232" s="37"/>
      <c r="U232" s="37"/>
      <c r="V232" s="37"/>
    </row>
    <row r="233">
      <c r="A233" s="39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7"/>
      <c r="O233" s="37"/>
      <c r="P233" s="37"/>
      <c r="Q233" s="37"/>
      <c r="R233" s="37"/>
      <c r="S233" s="37"/>
      <c r="T233" s="37"/>
      <c r="U233" s="37"/>
      <c r="V233" s="37"/>
    </row>
    <row r="234">
      <c r="A234" s="39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7"/>
      <c r="O234" s="37"/>
      <c r="P234" s="37"/>
      <c r="Q234" s="37"/>
      <c r="R234" s="37"/>
      <c r="S234" s="37"/>
      <c r="T234" s="37"/>
      <c r="U234" s="37"/>
      <c r="V234" s="37"/>
    </row>
    <row r="235">
      <c r="A235" s="39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7"/>
      <c r="O235" s="37"/>
      <c r="P235" s="37"/>
      <c r="Q235" s="37"/>
      <c r="R235" s="37"/>
      <c r="S235" s="37"/>
      <c r="T235" s="37"/>
      <c r="U235" s="37"/>
      <c r="V235" s="37"/>
    </row>
    <row r="236">
      <c r="A236" s="39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7"/>
      <c r="O236" s="37"/>
      <c r="P236" s="37"/>
      <c r="Q236" s="37"/>
      <c r="R236" s="37"/>
      <c r="S236" s="37"/>
      <c r="T236" s="37"/>
      <c r="U236" s="37"/>
      <c r="V236" s="37"/>
    </row>
    <row r="237">
      <c r="A237" s="39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7"/>
      <c r="O237" s="37"/>
      <c r="P237" s="37"/>
      <c r="Q237" s="37"/>
      <c r="R237" s="37"/>
      <c r="S237" s="37"/>
      <c r="T237" s="37"/>
      <c r="U237" s="37"/>
      <c r="V237" s="37"/>
    </row>
    <row r="238">
      <c r="A238" s="39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7"/>
      <c r="O238" s="37"/>
      <c r="P238" s="37"/>
      <c r="Q238" s="37"/>
      <c r="R238" s="37"/>
      <c r="S238" s="37"/>
      <c r="T238" s="37"/>
      <c r="U238" s="37"/>
      <c r="V238" s="37"/>
    </row>
    <row r="239">
      <c r="A239" s="39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7"/>
      <c r="O239" s="37"/>
      <c r="P239" s="37"/>
      <c r="Q239" s="37"/>
      <c r="R239" s="37"/>
      <c r="S239" s="37"/>
      <c r="T239" s="37"/>
      <c r="U239" s="37"/>
      <c r="V239" s="37"/>
    </row>
    <row r="240">
      <c r="A240" s="39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7"/>
      <c r="O240" s="37"/>
      <c r="P240" s="37"/>
      <c r="Q240" s="37"/>
      <c r="R240" s="37"/>
      <c r="S240" s="37"/>
      <c r="T240" s="37"/>
      <c r="U240" s="37"/>
      <c r="V240" s="37"/>
    </row>
    <row r="241">
      <c r="A241" s="39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7"/>
      <c r="O241" s="37"/>
      <c r="P241" s="37"/>
      <c r="Q241" s="37"/>
      <c r="R241" s="37"/>
      <c r="S241" s="37"/>
      <c r="T241" s="37"/>
      <c r="U241" s="37"/>
      <c r="V241" s="37"/>
    </row>
    <row r="242">
      <c r="A242" s="39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7"/>
      <c r="O242" s="37"/>
      <c r="P242" s="37"/>
      <c r="Q242" s="37"/>
      <c r="R242" s="37"/>
      <c r="S242" s="37"/>
      <c r="T242" s="37"/>
      <c r="U242" s="37"/>
      <c r="V242" s="37"/>
    </row>
    <row r="243">
      <c r="A243" s="39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7"/>
      <c r="O243" s="37"/>
      <c r="P243" s="37"/>
      <c r="Q243" s="37"/>
      <c r="R243" s="37"/>
      <c r="S243" s="37"/>
      <c r="T243" s="37"/>
      <c r="U243" s="37"/>
      <c r="V243" s="37"/>
    </row>
    <row r="244">
      <c r="A244" s="39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7"/>
      <c r="O244" s="37"/>
      <c r="P244" s="37"/>
      <c r="Q244" s="37"/>
      <c r="R244" s="37"/>
      <c r="S244" s="37"/>
      <c r="T244" s="37"/>
      <c r="U244" s="37"/>
      <c r="V244" s="37"/>
    </row>
    <row r="245">
      <c r="A245" s="39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7"/>
      <c r="O245" s="37"/>
      <c r="P245" s="37"/>
      <c r="Q245" s="37"/>
      <c r="R245" s="37"/>
      <c r="S245" s="37"/>
      <c r="T245" s="37"/>
      <c r="U245" s="37"/>
      <c r="V245" s="37"/>
    </row>
    <row r="246">
      <c r="A246" s="39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7"/>
      <c r="O246" s="37"/>
      <c r="P246" s="37"/>
      <c r="Q246" s="37"/>
      <c r="R246" s="37"/>
      <c r="S246" s="37"/>
      <c r="T246" s="37"/>
      <c r="U246" s="37"/>
      <c r="V246" s="37"/>
    </row>
    <row r="247">
      <c r="A247" s="39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7"/>
      <c r="O247" s="37"/>
      <c r="P247" s="37"/>
      <c r="Q247" s="37"/>
      <c r="R247" s="37"/>
      <c r="S247" s="37"/>
      <c r="T247" s="37"/>
      <c r="U247" s="37"/>
      <c r="V247" s="37"/>
    </row>
    <row r="248">
      <c r="A248" s="39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7"/>
      <c r="O248" s="37"/>
      <c r="P248" s="37"/>
      <c r="Q248" s="37"/>
      <c r="R248" s="37"/>
      <c r="S248" s="37"/>
      <c r="T248" s="37"/>
      <c r="U248" s="37"/>
      <c r="V248" s="37"/>
    </row>
    <row r="249">
      <c r="A249" s="39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7"/>
      <c r="O249" s="37"/>
      <c r="P249" s="37"/>
      <c r="Q249" s="37"/>
      <c r="R249" s="37"/>
      <c r="S249" s="37"/>
      <c r="T249" s="37"/>
      <c r="U249" s="37"/>
      <c r="V249" s="37"/>
    </row>
    <row r="250">
      <c r="A250" s="39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7"/>
      <c r="O250" s="37"/>
      <c r="P250" s="37"/>
      <c r="Q250" s="37"/>
      <c r="R250" s="37"/>
      <c r="S250" s="37"/>
      <c r="T250" s="37"/>
      <c r="U250" s="37"/>
      <c r="V250" s="37"/>
    </row>
    <row r="251">
      <c r="A251" s="39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7"/>
      <c r="O251" s="37"/>
      <c r="P251" s="37"/>
      <c r="Q251" s="37"/>
      <c r="R251" s="37"/>
      <c r="S251" s="37"/>
      <c r="T251" s="37"/>
      <c r="U251" s="37"/>
      <c r="V251" s="37"/>
    </row>
    <row r="252">
      <c r="A252" s="39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7"/>
      <c r="O252" s="37"/>
      <c r="P252" s="37"/>
      <c r="Q252" s="37"/>
      <c r="R252" s="37"/>
      <c r="S252" s="37"/>
      <c r="T252" s="37"/>
      <c r="U252" s="37"/>
      <c r="V252" s="37"/>
    </row>
    <row r="253">
      <c r="A253" s="39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7"/>
      <c r="O253" s="37"/>
      <c r="P253" s="37"/>
      <c r="Q253" s="37"/>
      <c r="R253" s="37"/>
      <c r="S253" s="37"/>
      <c r="T253" s="37"/>
      <c r="U253" s="37"/>
      <c r="V253" s="37"/>
    </row>
    <row r="254">
      <c r="A254" s="39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7"/>
      <c r="O254" s="37"/>
      <c r="P254" s="37"/>
      <c r="Q254" s="37"/>
      <c r="R254" s="37"/>
      <c r="S254" s="37"/>
      <c r="T254" s="37"/>
      <c r="U254" s="37"/>
      <c r="V254" s="37"/>
    </row>
    <row r="255">
      <c r="A255" s="39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7"/>
      <c r="O255" s="37"/>
      <c r="P255" s="37"/>
      <c r="Q255" s="37"/>
      <c r="R255" s="37"/>
      <c r="S255" s="37"/>
      <c r="T255" s="37"/>
      <c r="U255" s="37"/>
      <c r="V255" s="37"/>
    </row>
    <row r="256">
      <c r="A256" s="39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7"/>
      <c r="O256" s="37"/>
      <c r="P256" s="37"/>
      <c r="Q256" s="37"/>
      <c r="R256" s="37"/>
      <c r="S256" s="37"/>
      <c r="T256" s="37"/>
      <c r="U256" s="37"/>
      <c r="V256" s="37"/>
    </row>
    <row r="257">
      <c r="A257" s="39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7"/>
      <c r="O257" s="37"/>
      <c r="P257" s="37"/>
      <c r="Q257" s="37"/>
      <c r="R257" s="37"/>
      <c r="S257" s="37"/>
      <c r="T257" s="37"/>
      <c r="U257" s="37"/>
      <c r="V257" s="37"/>
    </row>
    <row r="258">
      <c r="A258" s="39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7"/>
      <c r="O258" s="37"/>
      <c r="P258" s="37"/>
      <c r="Q258" s="37"/>
      <c r="R258" s="37"/>
      <c r="S258" s="37"/>
      <c r="T258" s="37"/>
      <c r="U258" s="37"/>
      <c r="V258" s="37"/>
    </row>
    <row r="259">
      <c r="A259" s="39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7"/>
      <c r="O259" s="37"/>
      <c r="P259" s="37"/>
      <c r="Q259" s="37"/>
      <c r="R259" s="37"/>
      <c r="S259" s="37"/>
      <c r="T259" s="37"/>
      <c r="U259" s="37"/>
      <c r="V259" s="37"/>
    </row>
    <row r="260">
      <c r="A260" s="39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7"/>
      <c r="O260" s="37"/>
      <c r="P260" s="37"/>
      <c r="Q260" s="37"/>
      <c r="R260" s="37"/>
      <c r="S260" s="37"/>
      <c r="T260" s="37"/>
      <c r="U260" s="37"/>
      <c r="V260" s="37"/>
    </row>
    <row r="261">
      <c r="A261" s="39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7"/>
      <c r="O261" s="37"/>
      <c r="P261" s="37"/>
      <c r="Q261" s="37"/>
      <c r="R261" s="37"/>
      <c r="S261" s="37"/>
      <c r="T261" s="37"/>
      <c r="U261" s="37"/>
      <c r="V261" s="37"/>
    </row>
    <row r="262">
      <c r="A262" s="39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7"/>
      <c r="O262" s="37"/>
      <c r="P262" s="37"/>
      <c r="Q262" s="37"/>
      <c r="R262" s="37"/>
      <c r="S262" s="37"/>
      <c r="T262" s="37"/>
      <c r="U262" s="37"/>
      <c r="V262" s="37"/>
    </row>
    <row r="263">
      <c r="A263" s="39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7"/>
      <c r="O263" s="37"/>
      <c r="P263" s="37"/>
      <c r="Q263" s="37"/>
      <c r="R263" s="37"/>
      <c r="S263" s="37"/>
      <c r="T263" s="37"/>
      <c r="U263" s="37"/>
      <c r="V263" s="37"/>
    </row>
    <row r="264">
      <c r="A264" s="39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7"/>
      <c r="O264" s="37"/>
      <c r="P264" s="37"/>
      <c r="Q264" s="37"/>
      <c r="R264" s="37"/>
      <c r="S264" s="37"/>
      <c r="T264" s="37"/>
      <c r="U264" s="37"/>
      <c r="V264" s="37"/>
    </row>
    <row r="265">
      <c r="A265" s="39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7"/>
      <c r="O265" s="37"/>
      <c r="P265" s="37"/>
      <c r="Q265" s="37"/>
      <c r="R265" s="37"/>
      <c r="S265" s="37"/>
      <c r="T265" s="37"/>
      <c r="U265" s="37"/>
      <c r="V265" s="37"/>
    </row>
    <row r="266">
      <c r="A266" s="39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7"/>
      <c r="O266" s="37"/>
      <c r="P266" s="37"/>
      <c r="Q266" s="37"/>
      <c r="R266" s="37"/>
      <c r="S266" s="37"/>
      <c r="T266" s="37"/>
      <c r="U266" s="37"/>
      <c r="V266" s="37"/>
    </row>
    <row r="267">
      <c r="A267" s="39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7"/>
      <c r="O267" s="37"/>
      <c r="P267" s="37"/>
      <c r="Q267" s="37"/>
      <c r="R267" s="37"/>
      <c r="S267" s="37"/>
      <c r="T267" s="37"/>
      <c r="U267" s="37"/>
      <c r="V267" s="37"/>
    </row>
    <row r="268">
      <c r="A268" s="39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7"/>
      <c r="O268" s="37"/>
      <c r="P268" s="37"/>
      <c r="Q268" s="37"/>
      <c r="R268" s="37"/>
      <c r="S268" s="37"/>
      <c r="T268" s="37"/>
      <c r="U268" s="37"/>
      <c r="V268" s="37"/>
    </row>
    <row r="269">
      <c r="A269" s="39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7"/>
      <c r="O269" s="37"/>
      <c r="P269" s="37"/>
      <c r="Q269" s="37"/>
      <c r="R269" s="37"/>
      <c r="S269" s="37"/>
      <c r="T269" s="37"/>
      <c r="U269" s="37"/>
      <c r="V269" s="37"/>
    </row>
    <row r="270">
      <c r="A270" s="39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7"/>
      <c r="O270" s="37"/>
      <c r="P270" s="37"/>
      <c r="Q270" s="37"/>
      <c r="R270" s="37"/>
      <c r="S270" s="37"/>
      <c r="T270" s="37"/>
      <c r="U270" s="37"/>
      <c r="V270" s="37"/>
    </row>
    <row r="271">
      <c r="A271" s="39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7"/>
      <c r="O271" s="37"/>
      <c r="P271" s="37"/>
      <c r="Q271" s="37"/>
      <c r="R271" s="37"/>
      <c r="S271" s="37"/>
      <c r="T271" s="37"/>
      <c r="U271" s="37"/>
      <c r="V271" s="37"/>
    </row>
    <row r="272">
      <c r="A272" s="39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7"/>
      <c r="O272" s="37"/>
      <c r="P272" s="37"/>
      <c r="Q272" s="37"/>
      <c r="R272" s="37"/>
      <c r="S272" s="37"/>
      <c r="T272" s="37"/>
      <c r="U272" s="37"/>
      <c r="V272" s="37"/>
    </row>
    <row r="273">
      <c r="A273" s="39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7"/>
      <c r="O273" s="37"/>
      <c r="P273" s="37"/>
      <c r="Q273" s="37"/>
      <c r="R273" s="37"/>
      <c r="S273" s="37"/>
      <c r="T273" s="37"/>
      <c r="U273" s="37"/>
      <c r="V273" s="37"/>
    </row>
    <row r="274">
      <c r="A274" s="39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7"/>
      <c r="O274" s="37"/>
      <c r="P274" s="37"/>
      <c r="Q274" s="37"/>
      <c r="R274" s="37"/>
      <c r="S274" s="37"/>
      <c r="T274" s="37"/>
      <c r="U274" s="37"/>
      <c r="V274" s="37"/>
    </row>
    <row r="275">
      <c r="A275" s="39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7"/>
      <c r="O275" s="37"/>
      <c r="P275" s="37"/>
      <c r="Q275" s="37"/>
      <c r="R275" s="37"/>
      <c r="S275" s="37"/>
      <c r="T275" s="37"/>
      <c r="U275" s="37"/>
      <c r="V275" s="37"/>
    </row>
    <row r="276">
      <c r="A276" s="39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7"/>
      <c r="O276" s="37"/>
      <c r="P276" s="37"/>
      <c r="Q276" s="37"/>
      <c r="R276" s="37"/>
      <c r="S276" s="37"/>
      <c r="T276" s="37"/>
      <c r="U276" s="37"/>
      <c r="V276" s="37"/>
    </row>
    <row r="277">
      <c r="A277" s="39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7"/>
      <c r="O277" s="37"/>
      <c r="P277" s="37"/>
      <c r="Q277" s="37"/>
      <c r="R277" s="37"/>
      <c r="S277" s="37"/>
      <c r="T277" s="37"/>
      <c r="U277" s="37"/>
      <c r="V277" s="37"/>
    </row>
    <row r="278">
      <c r="A278" s="39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7"/>
      <c r="O278" s="37"/>
      <c r="P278" s="37"/>
      <c r="Q278" s="37"/>
      <c r="R278" s="37"/>
      <c r="S278" s="37"/>
      <c r="T278" s="37"/>
      <c r="U278" s="37"/>
      <c r="V278" s="37"/>
    </row>
    <row r="279">
      <c r="A279" s="39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7"/>
      <c r="O279" s="37"/>
      <c r="P279" s="37"/>
      <c r="Q279" s="37"/>
      <c r="R279" s="37"/>
      <c r="S279" s="37"/>
      <c r="T279" s="37"/>
      <c r="U279" s="37"/>
      <c r="V279" s="37"/>
    </row>
    <row r="280">
      <c r="A280" s="39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7"/>
      <c r="O280" s="37"/>
      <c r="P280" s="37"/>
      <c r="Q280" s="37"/>
      <c r="R280" s="37"/>
      <c r="S280" s="37"/>
      <c r="T280" s="37"/>
      <c r="U280" s="37"/>
      <c r="V280" s="37"/>
    </row>
    <row r="281">
      <c r="A281" s="39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7"/>
      <c r="O281" s="37"/>
      <c r="P281" s="37"/>
      <c r="Q281" s="37"/>
      <c r="R281" s="37"/>
      <c r="S281" s="37"/>
      <c r="T281" s="37"/>
      <c r="U281" s="37"/>
      <c r="V281" s="37"/>
    </row>
    <row r="282">
      <c r="A282" s="39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7"/>
      <c r="O282" s="37"/>
      <c r="P282" s="37"/>
      <c r="Q282" s="37"/>
      <c r="R282" s="37"/>
      <c r="S282" s="37"/>
      <c r="T282" s="37"/>
      <c r="U282" s="37"/>
      <c r="V282" s="37"/>
    </row>
    <row r="283">
      <c r="A283" s="39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7"/>
      <c r="O283" s="37"/>
      <c r="P283" s="37"/>
      <c r="Q283" s="37"/>
      <c r="R283" s="37"/>
      <c r="S283" s="37"/>
      <c r="T283" s="37"/>
      <c r="U283" s="37"/>
      <c r="V283" s="37"/>
    </row>
    <row r="284">
      <c r="A284" s="39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7"/>
      <c r="O284" s="37"/>
      <c r="P284" s="37"/>
      <c r="Q284" s="37"/>
      <c r="R284" s="37"/>
      <c r="S284" s="37"/>
      <c r="T284" s="37"/>
      <c r="U284" s="37"/>
      <c r="V284" s="37"/>
    </row>
    <row r="285">
      <c r="A285" s="39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7"/>
      <c r="O285" s="37"/>
      <c r="P285" s="37"/>
      <c r="Q285" s="37"/>
      <c r="R285" s="37"/>
      <c r="S285" s="37"/>
      <c r="T285" s="37"/>
      <c r="U285" s="37"/>
      <c r="V285" s="37"/>
    </row>
    <row r="286">
      <c r="A286" s="39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7"/>
      <c r="O286" s="37"/>
      <c r="P286" s="37"/>
      <c r="Q286" s="37"/>
      <c r="R286" s="37"/>
      <c r="S286" s="37"/>
      <c r="T286" s="37"/>
      <c r="U286" s="37"/>
      <c r="V286" s="37"/>
    </row>
    <row r="287">
      <c r="A287" s="39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7"/>
      <c r="O287" s="37"/>
      <c r="P287" s="37"/>
      <c r="Q287" s="37"/>
      <c r="R287" s="37"/>
      <c r="S287" s="37"/>
      <c r="T287" s="37"/>
      <c r="U287" s="37"/>
      <c r="V287" s="37"/>
    </row>
    <row r="288">
      <c r="A288" s="39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7"/>
      <c r="O288" s="37"/>
      <c r="P288" s="37"/>
      <c r="Q288" s="37"/>
      <c r="R288" s="37"/>
      <c r="S288" s="37"/>
      <c r="T288" s="37"/>
      <c r="U288" s="37"/>
      <c r="V288" s="37"/>
    </row>
    <row r="289">
      <c r="A289" s="39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7"/>
      <c r="O289" s="37"/>
      <c r="P289" s="37"/>
      <c r="Q289" s="37"/>
      <c r="R289" s="37"/>
      <c r="S289" s="37"/>
      <c r="T289" s="37"/>
      <c r="U289" s="37"/>
      <c r="V289" s="37"/>
    </row>
    <row r="290">
      <c r="A290" s="39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7"/>
      <c r="O290" s="37"/>
      <c r="P290" s="37"/>
      <c r="Q290" s="37"/>
      <c r="R290" s="37"/>
      <c r="S290" s="37"/>
      <c r="T290" s="37"/>
      <c r="U290" s="37"/>
      <c r="V290" s="37"/>
    </row>
    <row r="291">
      <c r="A291" s="39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7"/>
      <c r="O291" s="37"/>
      <c r="P291" s="37"/>
      <c r="Q291" s="37"/>
      <c r="R291" s="37"/>
      <c r="S291" s="37"/>
      <c r="T291" s="37"/>
      <c r="U291" s="37"/>
      <c r="V291" s="37"/>
    </row>
    <row r="292">
      <c r="A292" s="39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7"/>
      <c r="O292" s="37"/>
      <c r="P292" s="37"/>
      <c r="Q292" s="37"/>
      <c r="R292" s="37"/>
      <c r="S292" s="37"/>
      <c r="T292" s="37"/>
      <c r="U292" s="37"/>
      <c r="V292" s="37"/>
    </row>
    <row r="293">
      <c r="A293" s="39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7"/>
      <c r="O293" s="37"/>
      <c r="P293" s="37"/>
      <c r="Q293" s="37"/>
      <c r="R293" s="37"/>
      <c r="S293" s="37"/>
      <c r="T293" s="37"/>
      <c r="U293" s="37"/>
      <c r="V293" s="37"/>
    </row>
    <row r="294">
      <c r="A294" s="39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7"/>
      <c r="O294" s="37"/>
      <c r="P294" s="37"/>
      <c r="Q294" s="37"/>
      <c r="R294" s="37"/>
      <c r="S294" s="37"/>
      <c r="T294" s="37"/>
      <c r="U294" s="37"/>
      <c r="V294" s="37"/>
    </row>
    <row r="295">
      <c r="A295" s="39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7"/>
      <c r="O295" s="37"/>
      <c r="P295" s="37"/>
      <c r="Q295" s="37"/>
      <c r="R295" s="37"/>
      <c r="S295" s="37"/>
      <c r="T295" s="37"/>
      <c r="U295" s="37"/>
      <c r="V295" s="37"/>
    </row>
    <row r="296">
      <c r="A296" s="39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7"/>
      <c r="O296" s="37"/>
      <c r="P296" s="37"/>
      <c r="Q296" s="37"/>
      <c r="R296" s="37"/>
      <c r="S296" s="37"/>
      <c r="T296" s="37"/>
      <c r="U296" s="37"/>
      <c r="V296" s="37"/>
    </row>
    <row r="297">
      <c r="A297" s="39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7"/>
      <c r="O297" s="37"/>
      <c r="P297" s="37"/>
      <c r="Q297" s="37"/>
      <c r="R297" s="37"/>
      <c r="S297" s="37"/>
      <c r="T297" s="37"/>
      <c r="U297" s="37"/>
      <c r="V297" s="37"/>
    </row>
    <row r="298">
      <c r="A298" s="39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7"/>
      <c r="O298" s="37"/>
      <c r="P298" s="37"/>
      <c r="Q298" s="37"/>
      <c r="R298" s="37"/>
      <c r="S298" s="37"/>
      <c r="T298" s="37"/>
      <c r="U298" s="37"/>
      <c r="V298" s="37"/>
    </row>
    <row r="299">
      <c r="A299" s="39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7"/>
      <c r="O299" s="37"/>
      <c r="P299" s="37"/>
      <c r="Q299" s="37"/>
      <c r="R299" s="37"/>
      <c r="S299" s="37"/>
      <c r="T299" s="37"/>
      <c r="U299" s="37"/>
      <c r="V299" s="37"/>
    </row>
    <row r="300">
      <c r="A300" s="39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7"/>
      <c r="O300" s="37"/>
      <c r="P300" s="37"/>
      <c r="Q300" s="37"/>
      <c r="R300" s="37"/>
      <c r="S300" s="37"/>
      <c r="T300" s="37"/>
      <c r="U300" s="37"/>
      <c r="V300" s="37"/>
    </row>
    <row r="301">
      <c r="A301" s="39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7"/>
      <c r="O301" s="37"/>
      <c r="P301" s="37"/>
      <c r="Q301" s="37"/>
      <c r="R301" s="37"/>
      <c r="S301" s="37"/>
      <c r="T301" s="37"/>
      <c r="U301" s="37"/>
      <c r="V301" s="37"/>
    </row>
    <row r="302">
      <c r="A302" s="39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7"/>
      <c r="O302" s="37"/>
      <c r="P302" s="37"/>
      <c r="Q302" s="37"/>
      <c r="R302" s="37"/>
      <c r="S302" s="37"/>
      <c r="T302" s="37"/>
      <c r="U302" s="37"/>
      <c r="V302" s="37"/>
    </row>
    <row r="303">
      <c r="A303" s="39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7"/>
      <c r="O303" s="37"/>
      <c r="P303" s="37"/>
      <c r="Q303" s="37"/>
      <c r="R303" s="37"/>
      <c r="S303" s="37"/>
      <c r="T303" s="37"/>
      <c r="U303" s="37"/>
      <c r="V303" s="37"/>
    </row>
    <row r="304">
      <c r="A304" s="39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7"/>
      <c r="O304" s="37"/>
      <c r="P304" s="37"/>
      <c r="Q304" s="37"/>
      <c r="R304" s="37"/>
      <c r="S304" s="37"/>
      <c r="T304" s="37"/>
      <c r="U304" s="37"/>
      <c r="V304" s="37"/>
    </row>
    <row r="305">
      <c r="A305" s="39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7"/>
      <c r="O305" s="37"/>
      <c r="P305" s="37"/>
      <c r="Q305" s="37"/>
      <c r="R305" s="37"/>
      <c r="S305" s="37"/>
      <c r="T305" s="37"/>
      <c r="U305" s="37"/>
      <c r="V305" s="37"/>
    </row>
    <row r="306">
      <c r="A306" s="39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7"/>
      <c r="O306" s="37"/>
      <c r="P306" s="37"/>
      <c r="Q306" s="37"/>
      <c r="R306" s="37"/>
      <c r="S306" s="37"/>
      <c r="T306" s="37"/>
      <c r="U306" s="37"/>
      <c r="V306" s="37"/>
    </row>
    <row r="307">
      <c r="A307" s="39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7"/>
      <c r="O307" s="37"/>
      <c r="P307" s="37"/>
      <c r="Q307" s="37"/>
      <c r="R307" s="37"/>
      <c r="S307" s="37"/>
      <c r="T307" s="37"/>
      <c r="U307" s="37"/>
      <c r="V307" s="37"/>
    </row>
    <row r="308">
      <c r="A308" s="39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7"/>
      <c r="O308" s="37"/>
      <c r="P308" s="37"/>
      <c r="Q308" s="37"/>
      <c r="R308" s="37"/>
      <c r="S308" s="37"/>
      <c r="T308" s="37"/>
      <c r="U308" s="37"/>
      <c r="V308" s="37"/>
    </row>
    <row r="309">
      <c r="A309" s="39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7"/>
      <c r="O309" s="37"/>
      <c r="P309" s="37"/>
      <c r="Q309" s="37"/>
      <c r="R309" s="37"/>
      <c r="S309" s="37"/>
      <c r="T309" s="37"/>
      <c r="U309" s="37"/>
      <c r="V309" s="37"/>
    </row>
    <row r="310">
      <c r="A310" s="39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7"/>
      <c r="O310" s="37"/>
      <c r="P310" s="37"/>
      <c r="Q310" s="37"/>
      <c r="R310" s="37"/>
      <c r="S310" s="37"/>
      <c r="T310" s="37"/>
      <c r="U310" s="37"/>
      <c r="V310" s="37"/>
    </row>
    <row r="311">
      <c r="A311" s="39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7"/>
      <c r="O311" s="37"/>
      <c r="P311" s="37"/>
      <c r="Q311" s="37"/>
      <c r="R311" s="37"/>
      <c r="S311" s="37"/>
      <c r="T311" s="37"/>
      <c r="U311" s="37"/>
      <c r="V311" s="37"/>
    </row>
    <row r="312">
      <c r="A312" s="39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7"/>
      <c r="O312" s="37"/>
      <c r="P312" s="37"/>
      <c r="Q312" s="37"/>
      <c r="R312" s="37"/>
      <c r="S312" s="37"/>
      <c r="T312" s="37"/>
      <c r="U312" s="37"/>
      <c r="V312" s="37"/>
    </row>
    <row r="313">
      <c r="A313" s="39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7"/>
      <c r="O313" s="37"/>
      <c r="P313" s="37"/>
      <c r="Q313" s="37"/>
      <c r="R313" s="37"/>
      <c r="S313" s="37"/>
      <c r="T313" s="37"/>
      <c r="U313" s="37"/>
      <c r="V313" s="37"/>
    </row>
    <row r="314">
      <c r="A314" s="39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7"/>
      <c r="O314" s="37"/>
      <c r="P314" s="37"/>
      <c r="Q314" s="37"/>
      <c r="R314" s="37"/>
      <c r="S314" s="37"/>
      <c r="T314" s="37"/>
      <c r="U314" s="37"/>
      <c r="V314" s="37"/>
    </row>
    <row r="315">
      <c r="A315" s="39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7"/>
      <c r="O315" s="37"/>
      <c r="P315" s="37"/>
      <c r="Q315" s="37"/>
      <c r="R315" s="37"/>
      <c r="S315" s="37"/>
      <c r="T315" s="37"/>
      <c r="U315" s="37"/>
      <c r="V315" s="37"/>
    </row>
    <row r="316">
      <c r="A316" s="39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7"/>
      <c r="O316" s="37"/>
      <c r="P316" s="37"/>
      <c r="Q316" s="37"/>
      <c r="R316" s="37"/>
      <c r="S316" s="37"/>
      <c r="T316" s="37"/>
      <c r="U316" s="37"/>
      <c r="V316" s="37"/>
    </row>
    <row r="317">
      <c r="A317" s="39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7"/>
      <c r="O317" s="37"/>
      <c r="P317" s="37"/>
      <c r="Q317" s="37"/>
      <c r="R317" s="37"/>
      <c r="S317" s="37"/>
      <c r="T317" s="37"/>
      <c r="U317" s="37"/>
      <c r="V317" s="37"/>
    </row>
    <row r="318">
      <c r="A318" s="39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7"/>
      <c r="O318" s="37"/>
      <c r="P318" s="37"/>
      <c r="Q318" s="37"/>
      <c r="R318" s="37"/>
      <c r="S318" s="37"/>
      <c r="T318" s="37"/>
      <c r="U318" s="37"/>
      <c r="V318" s="37"/>
    </row>
    <row r="319">
      <c r="A319" s="39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7"/>
      <c r="O319" s="37"/>
      <c r="P319" s="37"/>
      <c r="Q319" s="37"/>
      <c r="R319" s="37"/>
      <c r="S319" s="37"/>
      <c r="T319" s="37"/>
      <c r="U319" s="37"/>
      <c r="V319" s="37"/>
    </row>
    <row r="320">
      <c r="A320" s="39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7"/>
      <c r="O320" s="37"/>
      <c r="P320" s="37"/>
      <c r="Q320" s="37"/>
      <c r="R320" s="37"/>
      <c r="S320" s="37"/>
      <c r="T320" s="37"/>
      <c r="U320" s="37"/>
      <c r="V320" s="37"/>
    </row>
    <row r="321">
      <c r="A321" s="39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7"/>
      <c r="O321" s="37"/>
      <c r="P321" s="37"/>
      <c r="Q321" s="37"/>
      <c r="R321" s="37"/>
      <c r="S321" s="37"/>
      <c r="T321" s="37"/>
      <c r="U321" s="37"/>
      <c r="V321" s="37"/>
    </row>
    <row r="322">
      <c r="A322" s="39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7"/>
      <c r="O322" s="37"/>
      <c r="P322" s="37"/>
      <c r="Q322" s="37"/>
      <c r="R322" s="37"/>
      <c r="S322" s="37"/>
      <c r="T322" s="37"/>
      <c r="U322" s="37"/>
      <c r="V322" s="37"/>
    </row>
    <row r="323">
      <c r="A323" s="39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7"/>
      <c r="O323" s="37"/>
      <c r="P323" s="37"/>
      <c r="Q323" s="37"/>
      <c r="R323" s="37"/>
      <c r="S323" s="37"/>
      <c r="T323" s="37"/>
      <c r="U323" s="37"/>
      <c r="V323" s="37"/>
    </row>
    <row r="324">
      <c r="A324" s="39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7"/>
      <c r="O324" s="37"/>
      <c r="P324" s="37"/>
      <c r="Q324" s="37"/>
      <c r="R324" s="37"/>
      <c r="S324" s="37"/>
      <c r="T324" s="37"/>
      <c r="U324" s="37"/>
      <c r="V324" s="37"/>
    </row>
    <row r="325">
      <c r="A325" s="39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7"/>
      <c r="O325" s="37"/>
      <c r="P325" s="37"/>
      <c r="Q325" s="37"/>
      <c r="R325" s="37"/>
      <c r="S325" s="37"/>
      <c r="T325" s="37"/>
      <c r="U325" s="37"/>
      <c r="V325" s="37"/>
    </row>
    <row r="326">
      <c r="A326" s="39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7"/>
      <c r="O326" s="37"/>
      <c r="P326" s="37"/>
      <c r="Q326" s="37"/>
      <c r="R326" s="37"/>
      <c r="S326" s="37"/>
      <c r="T326" s="37"/>
      <c r="U326" s="37"/>
      <c r="V326" s="37"/>
    </row>
    <row r="327">
      <c r="A327" s="39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7"/>
      <c r="O327" s="37"/>
      <c r="P327" s="37"/>
      <c r="Q327" s="37"/>
      <c r="R327" s="37"/>
      <c r="S327" s="37"/>
      <c r="T327" s="37"/>
      <c r="U327" s="37"/>
      <c r="V327" s="37"/>
    </row>
    <row r="328">
      <c r="A328" s="39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7"/>
      <c r="O328" s="37"/>
      <c r="P328" s="37"/>
      <c r="Q328" s="37"/>
      <c r="R328" s="37"/>
      <c r="S328" s="37"/>
      <c r="T328" s="37"/>
      <c r="U328" s="37"/>
      <c r="V328" s="37"/>
    </row>
    <row r="329">
      <c r="A329" s="39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7"/>
      <c r="O329" s="37"/>
      <c r="P329" s="37"/>
      <c r="Q329" s="37"/>
      <c r="R329" s="37"/>
      <c r="S329" s="37"/>
      <c r="T329" s="37"/>
      <c r="U329" s="37"/>
      <c r="V329" s="37"/>
    </row>
    <row r="330">
      <c r="A330" s="39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7"/>
      <c r="O330" s="37"/>
      <c r="P330" s="37"/>
      <c r="Q330" s="37"/>
      <c r="R330" s="37"/>
      <c r="S330" s="37"/>
      <c r="T330" s="37"/>
      <c r="U330" s="37"/>
      <c r="V330" s="37"/>
    </row>
    <row r="331">
      <c r="A331" s="39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7"/>
      <c r="O331" s="37"/>
      <c r="P331" s="37"/>
      <c r="Q331" s="37"/>
      <c r="R331" s="37"/>
      <c r="S331" s="37"/>
      <c r="T331" s="37"/>
      <c r="U331" s="37"/>
      <c r="V331" s="37"/>
    </row>
    <row r="332">
      <c r="A332" s="39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7"/>
      <c r="O332" s="37"/>
      <c r="P332" s="37"/>
      <c r="Q332" s="37"/>
      <c r="R332" s="37"/>
      <c r="S332" s="37"/>
      <c r="T332" s="37"/>
      <c r="U332" s="37"/>
      <c r="V332" s="37"/>
    </row>
    <row r="333">
      <c r="A333" s="39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7"/>
      <c r="O333" s="37"/>
      <c r="P333" s="37"/>
      <c r="Q333" s="37"/>
      <c r="R333" s="37"/>
      <c r="S333" s="37"/>
      <c r="T333" s="37"/>
      <c r="U333" s="37"/>
      <c r="V333" s="37"/>
    </row>
    <row r="334">
      <c r="A334" s="39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7"/>
      <c r="O334" s="37"/>
      <c r="P334" s="37"/>
      <c r="Q334" s="37"/>
      <c r="R334" s="37"/>
      <c r="S334" s="37"/>
      <c r="T334" s="37"/>
      <c r="U334" s="37"/>
      <c r="V334" s="37"/>
    </row>
    <row r="335">
      <c r="A335" s="39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7"/>
      <c r="O335" s="37"/>
      <c r="P335" s="37"/>
      <c r="Q335" s="37"/>
      <c r="R335" s="37"/>
      <c r="S335" s="37"/>
      <c r="T335" s="37"/>
      <c r="U335" s="37"/>
      <c r="V335" s="37"/>
    </row>
    <row r="336">
      <c r="A336" s="39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7"/>
      <c r="O336" s="37"/>
      <c r="P336" s="37"/>
      <c r="Q336" s="37"/>
      <c r="R336" s="37"/>
      <c r="S336" s="37"/>
      <c r="T336" s="37"/>
      <c r="U336" s="37"/>
      <c r="V336" s="37"/>
    </row>
    <row r="337">
      <c r="A337" s="39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7"/>
      <c r="O337" s="37"/>
      <c r="P337" s="37"/>
      <c r="Q337" s="37"/>
      <c r="R337" s="37"/>
      <c r="S337" s="37"/>
      <c r="T337" s="37"/>
      <c r="U337" s="37"/>
      <c r="V337" s="37"/>
    </row>
    <row r="338">
      <c r="A338" s="39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7"/>
      <c r="O338" s="37"/>
      <c r="P338" s="37"/>
      <c r="Q338" s="37"/>
      <c r="R338" s="37"/>
      <c r="S338" s="37"/>
      <c r="T338" s="37"/>
      <c r="U338" s="37"/>
      <c r="V338" s="37"/>
    </row>
    <row r="339">
      <c r="A339" s="39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7"/>
      <c r="O339" s="37"/>
      <c r="P339" s="37"/>
      <c r="Q339" s="37"/>
      <c r="R339" s="37"/>
      <c r="S339" s="37"/>
      <c r="T339" s="37"/>
      <c r="U339" s="37"/>
      <c r="V339" s="37"/>
    </row>
    <row r="340">
      <c r="A340" s="39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7"/>
      <c r="O340" s="37"/>
      <c r="P340" s="37"/>
      <c r="Q340" s="37"/>
      <c r="R340" s="37"/>
      <c r="S340" s="37"/>
      <c r="T340" s="37"/>
      <c r="U340" s="37"/>
      <c r="V340" s="37"/>
    </row>
    <row r="341">
      <c r="A341" s="39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7"/>
      <c r="O341" s="37"/>
      <c r="P341" s="37"/>
      <c r="Q341" s="37"/>
      <c r="R341" s="37"/>
      <c r="S341" s="37"/>
      <c r="T341" s="37"/>
      <c r="U341" s="37"/>
      <c r="V341" s="37"/>
    </row>
    <row r="342">
      <c r="A342" s="39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7"/>
      <c r="O342" s="37"/>
      <c r="P342" s="37"/>
      <c r="Q342" s="37"/>
      <c r="R342" s="37"/>
      <c r="S342" s="37"/>
      <c r="T342" s="37"/>
      <c r="U342" s="37"/>
      <c r="V342" s="37"/>
    </row>
    <row r="343">
      <c r="A343" s="39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7"/>
      <c r="O343" s="37"/>
      <c r="P343" s="37"/>
      <c r="Q343" s="37"/>
      <c r="R343" s="37"/>
      <c r="S343" s="37"/>
      <c r="T343" s="37"/>
      <c r="U343" s="37"/>
      <c r="V343" s="37"/>
    </row>
    <row r="344">
      <c r="A344" s="39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7"/>
      <c r="O344" s="37"/>
      <c r="P344" s="37"/>
      <c r="Q344" s="37"/>
      <c r="R344" s="37"/>
      <c r="S344" s="37"/>
      <c r="T344" s="37"/>
      <c r="U344" s="37"/>
      <c r="V344" s="37"/>
    </row>
    <row r="345">
      <c r="A345" s="39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7"/>
      <c r="O345" s="37"/>
      <c r="P345" s="37"/>
      <c r="Q345" s="37"/>
      <c r="R345" s="37"/>
      <c r="S345" s="37"/>
      <c r="T345" s="37"/>
      <c r="U345" s="37"/>
      <c r="V345" s="37"/>
    </row>
    <row r="346">
      <c r="A346" s="39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7"/>
      <c r="O346" s="37"/>
      <c r="P346" s="37"/>
      <c r="Q346" s="37"/>
      <c r="R346" s="37"/>
      <c r="S346" s="37"/>
      <c r="T346" s="37"/>
      <c r="U346" s="37"/>
      <c r="V346" s="37"/>
    </row>
    <row r="347">
      <c r="A347" s="39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7"/>
      <c r="O347" s="37"/>
      <c r="P347" s="37"/>
      <c r="Q347" s="37"/>
      <c r="R347" s="37"/>
      <c r="S347" s="37"/>
      <c r="T347" s="37"/>
      <c r="U347" s="37"/>
      <c r="V347" s="37"/>
    </row>
    <row r="348">
      <c r="A348" s="39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7"/>
      <c r="O348" s="37"/>
      <c r="P348" s="37"/>
      <c r="Q348" s="37"/>
      <c r="R348" s="37"/>
      <c r="S348" s="37"/>
      <c r="T348" s="37"/>
      <c r="U348" s="37"/>
      <c r="V348" s="37"/>
    </row>
    <row r="349">
      <c r="A349" s="39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7"/>
      <c r="O349" s="37"/>
      <c r="P349" s="37"/>
      <c r="Q349" s="37"/>
      <c r="R349" s="37"/>
      <c r="S349" s="37"/>
      <c r="T349" s="37"/>
      <c r="U349" s="37"/>
      <c r="V349" s="37"/>
    </row>
    <row r="350">
      <c r="A350" s="39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7"/>
      <c r="O350" s="37"/>
      <c r="P350" s="37"/>
      <c r="Q350" s="37"/>
      <c r="R350" s="37"/>
      <c r="S350" s="37"/>
      <c r="T350" s="37"/>
      <c r="U350" s="37"/>
      <c r="V350" s="37"/>
    </row>
    <row r="351">
      <c r="A351" s="39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7"/>
      <c r="O351" s="37"/>
      <c r="P351" s="37"/>
      <c r="Q351" s="37"/>
      <c r="R351" s="37"/>
      <c r="S351" s="37"/>
      <c r="T351" s="37"/>
      <c r="U351" s="37"/>
      <c r="V351" s="37"/>
    </row>
    <row r="352">
      <c r="A352" s="39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7"/>
      <c r="O352" s="37"/>
      <c r="P352" s="37"/>
      <c r="Q352" s="37"/>
      <c r="R352" s="37"/>
      <c r="S352" s="37"/>
      <c r="T352" s="37"/>
      <c r="U352" s="37"/>
      <c r="V352" s="37"/>
    </row>
    <row r="353">
      <c r="A353" s="39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7"/>
      <c r="O353" s="37"/>
      <c r="P353" s="37"/>
      <c r="Q353" s="37"/>
      <c r="R353" s="37"/>
      <c r="S353" s="37"/>
      <c r="T353" s="37"/>
      <c r="U353" s="37"/>
      <c r="V353" s="37"/>
    </row>
    <row r="354">
      <c r="A354" s="39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7"/>
      <c r="O354" s="37"/>
      <c r="P354" s="37"/>
      <c r="Q354" s="37"/>
      <c r="R354" s="37"/>
      <c r="S354" s="37"/>
      <c r="T354" s="37"/>
      <c r="U354" s="37"/>
      <c r="V354" s="37"/>
    </row>
    <row r="355">
      <c r="A355" s="39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7"/>
      <c r="O355" s="37"/>
      <c r="P355" s="37"/>
      <c r="Q355" s="37"/>
      <c r="R355" s="37"/>
      <c r="S355" s="37"/>
      <c r="T355" s="37"/>
      <c r="U355" s="37"/>
      <c r="V355" s="37"/>
    </row>
    <row r="356">
      <c r="A356" s="39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7"/>
      <c r="O356" s="37"/>
      <c r="P356" s="37"/>
      <c r="Q356" s="37"/>
      <c r="R356" s="37"/>
      <c r="S356" s="37"/>
      <c r="T356" s="37"/>
      <c r="U356" s="37"/>
      <c r="V356" s="37"/>
    </row>
    <row r="357">
      <c r="A357" s="39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7"/>
      <c r="O357" s="37"/>
      <c r="P357" s="37"/>
      <c r="Q357" s="37"/>
      <c r="R357" s="37"/>
      <c r="S357" s="37"/>
      <c r="T357" s="37"/>
      <c r="U357" s="37"/>
      <c r="V357" s="37"/>
    </row>
    <row r="358">
      <c r="A358" s="39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7"/>
      <c r="O358" s="37"/>
      <c r="P358" s="37"/>
      <c r="Q358" s="37"/>
      <c r="R358" s="37"/>
      <c r="S358" s="37"/>
      <c r="T358" s="37"/>
      <c r="U358" s="37"/>
      <c r="V358" s="37"/>
    </row>
    <row r="359">
      <c r="A359" s="39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7"/>
      <c r="O359" s="37"/>
      <c r="P359" s="37"/>
      <c r="Q359" s="37"/>
      <c r="R359" s="37"/>
      <c r="S359" s="37"/>
      <c r="T359" s="37"/>
      <c r="U359" s="37"/>
      <c r="V359" s="37"/>
    </row>
    <row r="360">
      <c r="A360" s="39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7"/>
      <c r="O360" s="37"/>
      <c r="P360" s="37"/>
      <c r="Q360" s="37"/>
      <c r="R360" s="37"/>
      <c r="S360" s="37"/>
      <c r="T360" s="37"/>
      <c r="U360" s="37"/>
      <c r="V360" s="37"/>
    </row>
    <row r="361">
      <c r="A361" s="39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7"/>
      <c r="O361" s="37"/>
      <c r="P361" s="37"/>
      <c r="Q361" s="37"/>
      <c r="R361" s="37"/>
      <c r="S361" s="37"/>
      <c r="T361" s="37"/>
      <c r="U361" s="37"/>
      <c r="V361" s="37"/>
    </row>
    <row r="362">
      <c r="A362" s="39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7"/>
      <c r="O362" s="37"/>
      <c r="P362" s="37"/>
      <c r="Q362" s="37"/>
      <c r="R362" s="37"/>
      <c r="S362" s="37"/>
      <c r="T362" s="37"/>
      <c r="U362" s="37"/>
      <c r="V362" s="37"/>
    </row>
    <row r="363">
      <c r="A363" s="39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7"/>
      <c r="O363" s="37"/>
      <c r="P363" s="37"/>
      <c r="Q363" s="37"/>
      <c r="R363" s="37"/>
      <c r="S363" s="37"/>
      <c r="T363" s="37"/>
      <c r="U363" s="37"/>
      <c r="V363" s="37"/>
    </row>
    <row r="364">
      <c r="A364" s="39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7"/>
      <c r="O364" s="37"/>
      <c r="P364" s="37"/>
      <c r="Q364" s="37"/>
      <c r="R364" s="37"/>
      <c r="S364" s="37"/>
      <c r="T364" s="37"/>
      <c r="U364" s="37"/>
      <c r="V364" s="37"/>
    </row>
    <row r="365">
      <c r="A365" s="39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7"/>
      <c r="O365" s="37"/>
      <c r="P365" s="37"/>
      <c r="Q365" s="37"/>
      <c r="R365" s="37"/>
      <c r="S365" s="37"/>
      <c r="T365" s="37"/>
      <c r="U365" s="37"/>
      <c r="V365" s="37"/>
    </row>
    <row r="366">
      <c r="A366" s="39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7"/>
      <c r="O366" s="37"/>
      <c r="P366" s="37"/>
      <c r="Q366" s="37"/>
      <c r="R366" s="37"/>
      <c r="S366" s="37"/>
      <c r="T366" s="37"/>
      <c r="U366" s="37"/>
      <c r="V366" s="37"/>
    </row>
    <row r="367">
      <c r="A367" s="39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7"/>
      <c r="O367" s="37"/>
      <c r="P367" s="37"/>
      <c r="Q367" s="37"/>
      <c r="R367" s="37"/>
      <c r="S367" s="37"/>
      <c r="T367" s="37"/>
      <c r="U367" s="37"/>
      <c r="V367" s="37"/>
    </row>
    <row r="368">
      <c r="A368" s="39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7"/>
      <c r="O368" s="37"/>
      <c r="P368" s="37"/>
      <c r="Q368" s="37"/>
      <c r="R368" s="37"/>
      <c r="S368" s="37"/>
      <c r="T368" s="37"/>
      <c r="U368" s="37"/>
      <c r="V368" s="37"/>
    </row>
    <row r="369">
      <c r="A369" s="39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7"/>
      <c r="O369" s="37"/>
      <c r="P369" s="37"/>
      <c r="Q369" s="37"/>
      <c r="R369" s="37"/>
      <c r="S369" s="37"/>
      <c r="T369" s="37"/>
      <c r="U369" s="37"/>
      <c r="V369" s="37"/>
    </row>
    <row r="370">
      <c r="A370" s="39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7"/>
      <c r="O370" s="37"/>
      <c r="P370" s="37"/>
      <c r="Q370" s="37"/>
      <c r="R370" s="37"/>
      <c r="S370" s="37"/>
      <c r="T370" s="37"/>
      <c r="U370" s="37"/>
      <c r="V370" s="37"/>
    </row>
    <row r="371">
      <c r="A371" s="39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7"/>
      <c r="O371" s="37"/>
      <c r="P371" s="37"/>
      <c r="Q371" s="37"/>
      <c r="R371" s="37"/>
      <c r="S371" s="37"/>
      <c r="T371" s="37"/>
      <c r="U371" s="37"/>
      <c r="V371" s="37"/>
    </row>
    <row r="372">
      <c r="A372" s="39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7"/>
      <c r="O372" s="37"/>
      <c r="P372" s="37"/>
      <c r="Q372" s="37"/>
      <c r="R372" s="37"/>
      <c r="S372" s="37"/>
      <c r="T372" s="37"/>
      <c r="U372" s="37"/>
      <c r="V372" s="37"/>
    </row>
    <row r="373">
      <c r="A373" s="39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7"/>
      <c r="O373" s="37"/>
      <c r="P373" s="37"/>
      <c r="Q373" s="37"/>
      <c r="R373" s="37"/>
      <c r="S373" s="37"/>
      <c r="T373" s="37"/>
      <c r="U373" s="37"/>
      <c r="V373" s="37"/>
    </row>
    <row r="374">
      <c r="A374" s="39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7"/>
      <c r="O374" s="37"/>
      <c r="P374" s="37"/>
      <c r="Q374" s="37"/>
      <c r="R374" s="37"/>
      <c r="S374" s="37"/>
      <c r="T374" s="37"/>
      <c r="U374" s="37"/>
      <c r="V374" s="37"/>
    </row>
    <row r="375">
      <c r="A375" s="39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7"/>
      <c r="O375" s="37"/>
      <c r="P375" s="37"/>
      <c r="Q375" s="37"/>
      <c r="R375" s="37"/>
      <c r="S375" s="37"/>
      <c r="T375" s="37"/>
      <c r="U375" s="37"/>
      <c r="V375" s="37"/>
    </row>
    <row r="376">
      <c r="A376" s="39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7"/>
      <c r="O376" s="37"/>
      <c r="P376" s="37"/>
      <c r="Q376" s="37"/>
      <c r="R376" s="37"/>
      <c r="S376" s="37"/>
      <c r="T376" s="37"/>
      <c r="U376" s="37"/>
      <c r="V376" s="37"/>
    </row>
    <row r="377">
      <c r="A377" s="39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7"/>
      <c r="O377" s="37"/>
      <c r="P377" s="37"/>
      <c r="Q377" s="37"/>
      <c r="R377" s="37"/>
      <c r="S377" s="37"/>
      <c r="T377" s="37"/>
      <c r="U377" s="37"/>
      <c r="V377" s="37"/>
    </row>
    <row r="378">
      <c r="A378" s="39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7"/>
      <c r="O378" s="37"/>
      <c r="P378" s="37"/>
      <c r="Q378" s="37"/>
      <c r="R378" s="37"/>
      <c r="S378" s="37"/>
      <c r="T378" s="37"/>
      <c r="U378" s="37"/>
      <c r="V378" s="37"/>
    </row>
    <row r="379">
      <c r="A379" s="39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7"/>
      <c r="O379" s="37"/>
      <c r="P379" s="37"/>
      <c r="Q379" s="37"/>
      <c r="R379" s="37"/>
      <c r="S379" s="37"/>
      <c r="T379" s="37"/>
      <c r="U379" s="37"/>
      <c r="V379" s="37"/>
    </row>
    <row r="380">
      <c r="A380" s="39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7"/>
      <c r="O380" s="37"/>
      <c r="P380" s="37"/>
      <c r="Q380" s="37"/>
      <c r="R380" s="37"/>
      <c r="S380" s="37"/>
      <c r="T380" s="37"/>
      <c r="U380" s="37"/>
      <c r="V380" s="37"/>
    </row>
    <row r="381">
      <c r="A381" s="39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7"/>
      <c r="O381" s="37"/>
      <c r="P381" s="37"/>
      <c r="Q381" s="37"/>
      <c r="R381" s="37"/>
      <c r="S381" s="37"/>
      <c r="T381" s="37"/>
      <c r="U381" s="37"/>
      <c r="V381" s="37"/>
    </row>
    <row r="382">
      <c r="A382" s="39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7"/>
      <c r="O382" s="37"/>
      <c r="P382" s="37"/>
      <c r="Q382" s="37"/>
      <c r="R382" s="37"/>
      <c r="S382" s="37"/>
      <c r="T382" s="37"/>
      <c r="U382" s="37"/>
      <c r="V382" s="37"/>
    </row>
    <row r="383">
      <c r="A383" s="39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7"/>
      <c r="O383" s="37"/>
      <c r="P383" s="37"/>
      <c r="Q383" s="37"/>
      <c r="R383" s="37"/>
      <c r="S383" s="37"/>
      <c r="T383" s="37"/>
      <c r="U383" s="37"/>
      <c r="V383" s="37"/>
    </row>
    <row r="384">
      <c r="A384" s="39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7"/>
      <c r="O384" s="37"/>
      <c r="P384" s="37"/>
      <c r="Q384" s="37"/>
      <c r="R384" s="37"/>
      <c r="S384" s="37"/>
      <c r="T384" s="37"/>
      <c r="U384" s="37"/>
      <c r="V384" s="37"/>
    </row>
    <row r="385">
      <c r="A385" s="39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7"/>
      <c r="O385" s="37"/>
      <c r="P385" s="37"/>
      <c r="Q385" s="37"/>
      <c r="R385" s="37"/>
      <c r="S385" s="37"/>
      <c r="T385" s="37"/>
      <c r="U385" s="37"/>
      <c r="V385" s="37"/>
    </row>
    <row r="386">
      <c r="A386" s="39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7"/>
      <c r="O386" s="37"/>
      <c r="P386" s="37"/>
      <c r="Q386" s="37"/>
      <c r="R386" s="37"/>
      <c r="S386" s="37"/>
      <c r="T386" s="37"/>
      <c r="U386" s="37"/>
      <c r="V386" s="37"/>
    </row>
    <row r="387">
      <c r="A387" s="39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7"/>
      <c r="O387" s="37"/>
      <c r="P387" s="37"/>
      <c r="Q387" s="37"/>
      <c r="R387" s="37"/>
      <c r="S387" s="37"/>
      <c r="T387" s="37"/>
      <c r="U387" s="37"/>
      <c r="V387" s="37"/>
    </row>
    <row r="388">
      <c r="A388" s="39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7"/>
      <c r="O388" s="37"/>
      <c r="P388" s="37"/>
      <c r="Q388" s="37"/>
      <c r="R388" s="37"/>
      <c r="S388" s="37"/>
      <c r="T388" s="37"/>
      <c r="U388" s="37"/>
      <c r="V388" s="37"/>
    </row>
    <row r="389">
      <c r="A389" s="39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7"/>
      <c r="O389" s="37"/>
      <c r="P389" s="37"/>
      <c r="Q389" s="37"/>
      <c r="R389" s="37"/>
      <c r="S389" s="37"/>
      <c r="T389" s="37"/>
      <c r="U389" s="37"/>
      <c r="V389" s="37"/>
    </row>
    <row r="390">
      <c r="A390" s="39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7"/>
      <c r="O390" s="37"/>
      <c r="P390" s="37"/>
      <c r="Q390" s="37"/>
      <c r="R390" s="37"/>
      <c r="S390" s="37"/>
      <c r="T390" s="37"/>
      <c r="U390" s="37"/>
      <c r="V390" s="37"/>
    </row>
    <row r="391">
      <c r="A391" s="39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7"/>
      <c r="O391" s="37"/>
      <c r="P391" s="37"/>
      <c r="Q391" s="37"/>
      <c r="R391" s="37"/>
      <c r="S391" s="37"/>
      <c r="T391" s="37"/>
      <c r="U391" s="37"/>
      <c r="V391" s="37"/>
    </row>
    <row r="392">
      <c r="A392" s="39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7"/>
      <c r="O392" s="37"/>
      <c r="P392" s="37"/>
      <c r="Q392" s="37"/>
      <c r="R392" s="37"/>
      <c r="S392" s="37"/>
      <c r="T392" s="37"/>
      <c r="U392" s="37"/>
      <c r="V392" s="37"/>
    </row>
    <row r="393">
      <c r="A393" s="39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7"/>
      <c r="O393" s="37"/>
      <c r="P393" s="37"/>
      <c r="Q393" s="37"/>
      <c r="R393" s="37"/>
      <c r="S393" s="37"/>
      <c r="T393" s="37"/>
      <c r="U393" s="37"/>
      <c r="V393" s="37"/>
    </row>
    <row r="394">
      <c r="A394" s="39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7"/>
      <c r="O394" s="37"/>
      <c r="P394" s="37"/>
      <c r="Q394" s="37"/>
      <c r="R394" s="37"/>
      <c r="S394" s="37"/>
      <c r="T394" s="37"/>
      <c r="U394" s="37"/>
      <c r="V394" s="37"/>
    </row>
    <row r="395">
      <c r="A395" s="39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7"/>
      <c r="O395" s="37"/>
      <c r="P395" s="37"/>
      <c r="Q395" s="37"/>
      <c r="R395" s="37"/>
      <c r="S395" s="37"/>
      <c r="T395" s="37"/>
      <c r="U395" s="37"/>
      <c r="V395" s="37"/>
    </row>
    <row r="396">
      <c r="A396" s="39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7"/>
      <c r="O396" s="37"/>
      <c r="P396" s="37"/>
      <c r="Q396" s="37"/>
      <c r="R396" s="37"/>
      <c r="S396" s="37"/>
      <c r="T396" s="37"/>
      <c r="U396" s="37"/>
      <c r="V396" s="37"/>
    </row>
    <row r="397">
      <c r="A397" s="39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7"/>
      <c r="O397" s="37"/>
      <c r="P397" s="37"/>
      <c r="Q397" s="37"/>
      <c r="R397" s="37"/>
      <c r="S397" s="37"/>
      <c r="T397" s="37"/>
      <c r="U397" s="37"/>
      <c r="V397" s="37"/>
    </row>
    <row r="398">
      <c r="A398" s="39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7"/>
      <c r="O398" s="37"/>
      <c r="P398" s="37"/>
      <c r="Q398" s="37"/>
      <c r="R398" s="37"/>
      <c r="S398" s="37"/>
      <c r="T398" s="37"/>
      <c r="U398" s="37"/>
      <c r="V398" s="37"/>
    </row>
    <row r="399">
      <c r="A399" s="39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7"/>
      <c r="O399" s="37"/>
      <c r="P399" s="37"/>
      <c r="Q399" s="37"/>
      <c r="R399" s="37"/>
      <c r="S399" s="37"/>
      <c r="T399" s="37"/>
      <c r="U399" s="37"/>
      <c r="V399" s="37"/>
    </row>
    <row r="400">
      <c r="A400" s="39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7"/>
      <c r="O400" s="37"/>
      <c r="P400" s="37"/>
      <c r="Q400" s="37"/>
      <c r="R400" s="37"/>
      <c r="S400" s="37"/>
      <c r="T400" s="37"/>
      <c r="U400" s="37"/>
      <c r="V400" s="37"/>
    </row>
    <row r="401">
      <c r="A401" s="39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7"/>
      <c r="O401" s="37"/>
      <c r="P401" s="37"/>
      <c r="Q401" s="37"/>
      <c r="R401" s="37"/>
      <c r="S401" s="37"/>
      <c r="T401" s="37"/>
      <c r="U401" s="37"/>
      <c r="V401" s="37"/>
    </row>
    <row r="402">
      <c r="A402" s="39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7"/>
      <c r="O402" s="37"/>
      <c r="P402" s="37"/>
      <c r="Q402" s="37"/>
      <c r="R402" s="37"/>
      <c r="S402" s="37"/>
      <c r="T402" s="37"/>
      <c r="U402" s="37"/>
      <c r="V402" s="37"/>
    </row>
    <row r="403">
      <c r="A403" s="39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7"/>
      <c r="O403" s="37"/>
      <c r="P403" s="37"/>
      <c r="Q403" s="37"/>
      <c r="R403" s="37"/>
      <c r="S403" s="37"/>
      <c r="T403" s="37"/>
      <c r="U403" s="37"/>
      <c r="V403" s="37"/>
    </row>
    <row r="404">
      <c r="A404" s="39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7"/>
      <c r="O404" s="37"/>
      <c r="P404" s="37"/>
      <c r="Q404" s="37"/>
      <c r="R404" s="37"/>
      <c r="S404" s="37"/>
      <c r="T404" s="37"/>
      <c r="U404" s="37"/>
      <c r="V404" s="37"/>
    </row>
    <row r="405">
      <c r="A405" s="39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7"/>
      <c r="O405" s="37"/>
      <c r="P405" s="37"/>
      <c r="Q405" s="37"/>
      <c r="R405" s="37"/>
      <c r="S405" s="37"/>
      <c r="T405" s="37"/>
      <c r="U405" s="37"/>
      <c r="V405" s="37"/>
    </row>
    <row r="406">
      <c r="A406" s="39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7"/>
      <c r="O406" s="37"/>
      <c r="P406" s="37"/>
      <c r="Q406" s="37"/>
      <c r="R406" s="37"/>
      <c r="S406" s="37"/>
      <c r="T406" s="37"/>
      <c r="U406" s="37"/>
      <c r="V406" s="37"/>
    </row>
    <row r="407">
      <c r="A407" s="39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7"/>
      <c r="O407" s="37"/>
      <c r="P407" s="37"/>
      <c r="Q407" s="37"/>
      <c r="R407" s="37"/>
      <c r="S407" s="37"/>
      <c r="T407" s="37"/>
      <c r="U407" s="37"/>
      <c r="V407" s="37"/>
    </row>
    <row r="408">
      <c r="A408" s="39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7"/>
      <c r="O408" s="37"/>
      <c r="P408" s="37"/>
      <c r="Q408" s="37"/>
      <c r="R408" s="37"/>
      <c r="S408" s="37"/>
      <c r="T408" s="37"/>
      <c r="U408" s="37"/>
      <c r="V408" s="37"/>
    </row>
    <row r="409">
      <c r="A409" s="39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7"/>
      <c r="O409" s="37"/>
      <c r="P409" s="37"/>
      <c r="Q409" s="37"/>
      <c r="R409" s="37"/>
      <c r="S409" s="37"/>
      <c r="T409" s="37"/>
      <c r="U409" s="37"/>
      <c r="V409" s="37"/>
    </row>
    <row r="410">
      <c r="A410" s="39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7"/>
      <c r="O410" s="37"/>
      <c r="P410" s="37"/>
      <c r="Q410" s="37"/>
      <c r="R410" s="37"/>
      <c r="S410" s="37"/>
      <c r="T410" s="37"/>
      <c r="U410" s="37"/>
      <c r="V410" s="37"/>
    </row>
    <row r="411">
      <c r="A411" s="39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7"/>
      <c r="O411" s="37"/>
      <c r="P411" s="37"/>
      <c r="Q411" s="37"/>
      <c r="R411" s="37"/>
      <c r="S411" s="37"/>
      <c r="T411" s="37"/>
      <c r="U411" s="37"/>
      <c r="V411" s="37"/>
    </row>
    <row r="412">
      <c r="A412" s="39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7"/>
      <c r="O412" s="37"/>
      <c r="P412" s="37"/>
      <c r="Q412" s="37"/>
      <c r="R412" s="37"/>
      <c r="S412" s="37"/>
      <c r="T412" s="37"/>
      <c r="U412" s="37"/>
      <c r="V412" s="37"/>
    </row>
    <row r="413">
      <c r="A413" s="39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7"/>
      <c r="O413" s="37"/>
      <c r="P413" s="37"/>
      <c r="Q413" s="37"/>
      <c r="R413" s="37"/>
      <c r="S413" s="37"/>
      <c r="T413" s="37"/>
      <c r="U413" s="37"/>
      <c r="V413" s="37"/>
    </row>
    <row r="414">
      <c r="A414" s="39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7"/>
      <c r="O414" s="37"/>
      <c r="P414" s="37"/>
      <c r="Q414" s="37"/>
      <c r="R414" s="37"/>
      <c r="S414" s="37"/>
      <c r="T414" s="37"/>
      <c r="U414" s="37"/>
      <c r="V414" s="37"/>
    </row>
    <row r="415">
      <c r="A415" s="39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7"/>
      <c r="O415" s="37"/>
      <c r="P415" s="37"/>
      <c r="Q415" s="37"/>
      <c r="R415" s="37"/>
      <c r="S415" s="37"/>
      <c r="T415" s="37"/>
      <c r="U415" s="37"/>
      <c r="V415" s="37"/>
    </row>
    <row r="416">
      <c r="A416" s="39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7"/>
      <c r="O416" s="37"/>
      <c r="P416" s="37"/>
      <c r="Q416" s="37"/>
      <c r="R416" s="37"/>
      <c r="S416" s="37"/>
      <c r="T416" s="37"/>
      <c r="U416" s="37"/>
      <c r="V416" s="37"/>
    </row>
    <row r="417">
      <c r="A417" s="39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7"/>
      <c r="O417" s="37"/>
      <c r="P417" s="37"/>
      <c r="Q417" s="37"/>
      <c r="R417" s="37"/>
      <c r="S417" s="37"/>
      <c r="T417" s="37"/>
      <c r="U417" s="37"/>
      <c r="V417" s="37"/>
    </row>
    <row r="418">
      <c r="A418" s="39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7"/>
      <c r="O418" s="37"/>
      <c r="P418" s="37"/>
      <c r="Q418" s="37"/>
      <c r="R418" s="37"/>
      <c r="S418" s="37"/>
      <c r="T418" s="37"/>
      <c r="U418" s="37"/>
      <c r="V418" s="37"/>
    </row>
    <row r="419">
      <c r="A419" s="39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7"/>
      <c r="O419" s="37"/>
      <c r="P419" s="37"/>
      <c r="Q419" s="37"/>
      <c r="R419" s="37"/>
      <c r="S419" s="37"/>
      <c r="T419" s="37"/>
      <c r="U419" s="37"/>
      <c r="V419" s="37"/>
    </row>
    <row r="420">
      <c r="A420" s="39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7"/>
      <c r="O420" s="37"/>
      <c r="P420" s="37"/>
      <c r="Q420" s="37"/>
      <c r="R420" s="37"/>
      <c r="S420" s="37"/>
      <c r="T420" s="37"/>
      <c r="U420" s="37"/>
      <c r="V420" s="37"/>
    </row>
    <row r="421">
      <c r="A421" s="39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7"/>
      <c r="O421" s="37"/>
      <c r="P421" s="37"/>
      <c r="Q421" s="37"/>
      <c r="R421" s="37"/>
      <c r="S421" s="37"/>
      <c r="T421" s="37"/>
      <c r="U421" s="37"/>
      <c r="V421" s="37"/>
    </row>
    <row r="422">
      <c r="A422" s="39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7"/>
      <c r="O422" s="37"/>
      <c r="P422" s="37"/>
      <c r="Q422" s="37"/>
      <c r="R422" s="37"/>
      <c r="S422" s="37"/>
      <c r="T422" s="37"/>
      <c r="U422" s="37"/>
      <c r="V422" s="37"/>
    </row>
    <row r="423">
      <c r="A423" s="39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7"/>
      <c r="O423" s="37"/>
      <c r="P423" s="37"/>
      <c r="Q423" s="37"/>
      <c r="R423" s="37"/>
      <c r="S423" s="37"/>
      <c r="T423" s="37"/>
      <c r="U423" s="37"/>
      <c r="V423" s="37"/>
    </row>
    <row r="424">
      <c r="A424" s="39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7"/>
      <c r="O424" s="37"/>
      <c r="P424" s="37"/>
      <c r="Q424" s="37"/>
      <c r="R424" s="37"/>
      <c r="S424" s="37"/>
      <c r="T424" s="37"/>
      <c r="U424" s="37"/>
      <c r="V424" s="37"/>
    </row>
    <row r="425">
      <c r="A425" s="39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7"/>
      <c r="O425" s="37"/>
      <c r="P425" s="37"/>
      <c r="Q425" s="37"/>
      <c r="R425" s="37"/>
      <c r="S425" s="37"/>
      <c r="T425" s="37"/>
      <c r="U425" s="37"/>
      <c r="V425" s="37"/>
    </row>
    <row r="426">
      <c r="A426" s="39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7"/>
      <c r="O426" s="37"/>
      <c r="P426" s="37"/>
      <c r="Q426" s="37"/>
      <c r="R426" s="37"/>
      <c r="S426" s="37"/>
      <c r="T426" s="37"/>
      <c r="U426" s="37"/>
      <c r="V426" s="37"/>
    </row>
    <row r="427">
      <c r="A427" s="39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7"/>
      <c r="O427" s="37"/>
      <c r="P427" s="37"/>
      <c r="Q427" s="37"/>
      <c r="R427" s="37"/>
      <c r="S427" s="37"/>
      <c r="T427" s="37"/>
      <c r="U427" s="37"/>
      <c r="V427" s="37"/>
    </row>
    <row r="428">
      <c r="A428" s="39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7"/>
      <c r="O428" s="37"/>
      <c r="P428" s="37"/>
      <c r="Q428" s="37"/>
      <c r="R428" s="37"/>
      <c r="S428" s="37"/>
      <c r="T428" s="37"/>
      <c r="U428" s="37"/>
      <c r="V428" s="37"/>
    </row>
    <row r="429">
      <c r="A429" s="39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7"/>
      <c r="O429" s="37"/>
      <c r="P429" s="37"/>
      <c r="Q429" s="37"/>
      <c r="R429" s="37"/>
      <c r="S429" s="37"/>
      <c r="T429" s="37"/>
      <c r="U429" s="37"/>
      <c r="V429" s="37"/>
    </row>
    <row r="430">
      <c r="A430" s="39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7"/>
      <c r="O430" s="37"/>
      <c r="P430" s="37"/>
      <c r="Q430" s="37"/>
      <c r="R430" s="37"/>
      <c r="S430" s="37"/>
      <c r="T430" s="37"/>
      <c r="U430" s="37"/>
      <c r="V430" s="37"/>
    </row>
    <row r="431">
      <c r="A431" s="39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7"/>
      <c r="O431" s="37"/>
      <c r="P431" s="37"/>
      <c r="Q431" s="37"/>
      <c r="R431" s="37"/>
      <c r="S431" s="37"/>
      <c r="T431" s="37"/>
      <c r="U431" s="37"/>
      <c r="V431" s="37"/>
    </row>
    <row r="432">
      <c r="A432" s="39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7"/>
      <c r="O432" s="37"/>
      <c r="P432" s="37"/>
      <c r="Q432" s="37"/>
      <c r="R432" s="37"/>
      <c r="S432" s="37"/>
      <c r="T432" s="37"/>
      <c r="U432" s="37"/>
      <c r="V432" s="37"/>
    </row>
    <row r="433">
      <c r="A433" s="39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7"/>
      <c r="O433" s="37"/>
      <c r="P433" s="37"/>
      <c r="Q433" s="37"/>
      <c r="R433" s="37"/>
      <c r="S433" s="37"/>
      <c r="T433" s="37"/>
      <c r="U433" s="37"/>
      <c r="V433" s="37"/>
    </row>
    <row r="434">
      <c r="A434" s="39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7"/>
      <c r="O434" s="37"/>
      <c r="P434" s="37"/>
      <c r="Q434" s="37"/>
      <c r="R434" s="37"/>
      <c r="S434" s="37"/>
      <c r="T434" s="37"/>
      <c r="U434" s="37"/>
      <c r="V434" s="37"/>
    </row>
    <row r="435">
      <c r="A435" s="39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7"/>
      <c r="O435" s="37"/>
      <c r="P435" s="37"/>
      <c r="Q435" s="37"/>
      <c r="R435" s="37"/>
      <c r="S435" s="37"/>
      <c r="T435" s="37"/>
      <c r="U435" s="37"/>
      <c r="V435" s="37"/>
    </row>
    <row r="436">
      <c r="A436" s="39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7"/>
      <c r="O436" s="37"/>
      <c r="P436" s="37"/>
      <c r="Q436" s="37"/>
      <c r="R436" s="37"/>
      <c r="S436" s="37"/>
      <c r="T436" s="37"/>
      <c r="U436" s="37"/>
      <c r="V436" s="37"/>
    </row>
    <row r="437">
      <c r="A437" s="39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7"/>
      <c r="O437" s="37"/>
      <c r="P437" s="37"/>
      <c r="Q437" s="37"/>
      <c r="R437" s="37"/>
      <c r="S437" s="37"/>
      <c r="T437" s="37"/>
      <c r="U437" s="37"/>
      <c r="V437" s="37"/>
    </row>
    <row r="438">
      <c r="A438" s="39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7"/>
      <c r="O438" s="37"/>
      <c r="P438" s="37"/>
      <c r="Q438" s="37"/>
      <c r="R438" s="37"/>
      <c r="S438" s="37"/>
      <c r="T438" s="37"/>
      <c r="U438" s="37"/>
      <c r="V438" s="37"/>
    </row>
    <row r="439">
      <c r="A439" s="39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7"/>
      <c r="O439" s="37"/>
      <c r="P439" s="37"/>
      <c r="Q439" s="37"/>
      <c r="R439" s="37"/>
      <c r="S439" s="37"/>
      <c r="T439" s="37"/>
      <c r="U439" s="37"/>
      <c r="V439" s="37"/>
    </row>
    <row r="440">
      <c r="A440" s="39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7"/>
      <c r="O440" s="37"/>
      <c r="P440" s="37"/>
      <c r="Q440" s="37"/>
      <c r="R440" s="37"/>
      <c r="S440" s="37"/>
      <c r="T440" s="37"/>
      <c r="U440" s="37"/>
      <c r="V440" s="37"/>
    </row>
    <row r="441">
      <c r="A441" s="39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7"/>
      <c r="O441" s="37"/>
      <c r="P441" s="37"/>
      <c r="Q441" s="37"/>
      <c r="R441" s="37"/>
      <c r="S441" s="37"/>
      <c r="T441" s="37"/>
      <c r="U441" s="37"/>
      <c r="V441" s="37"/>
    </row>
    <row r="442">
      <c r="A442" s="39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7"/>
      <c r="O442" s="37"/>
      <c r="P442" s="37"/>
      <c r="Q442" s="37"/>
      <c r="R442" s="37"/>
      <c r="S442" s="37"/>
      <c r="T442" s="37"/>
      <c r="U442" s="37"/>
      <c r="V442" s="37"/>
    </row>
    <row r="443">
      <c r="A443" s="39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7"/>
      <c r="O443" s="37"/>
      <c r="P443" s="37"/>
      <c r="Q443" s="37"/>
      <c r="R443" s="37"/>
      <c r="S443" s="37"/>
      <c r="T443" s="37"/>
      <c r="U443" s="37"/>
      <c r="V443" s="37"/>
    </row>
    <row r="444">
      <c r="A444" s="39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7"/>
      <c r="O444" s="37"/>
      <c r="P444" s="37"/>
      <c r="Q444" s="37"/>
      <c r="R444" s="37"/>
      <c r="S444" s="37"/>
      <c r="T444" s="37"/>
      <c r="U444" s="37"/>
      <c r="V444" s="37"/>
    </row>
    <row r="445">
      <c r="A445" s="39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7"/>
      <c r="O445" s="37"/>
      <c r="P445" s="37"/>
      <c r="Q445" s="37"/>
      <c r="R445" s="37"/>
      <c r="S445" s="37"/>
      <c r="T445" s="37"/>
      <c r="U445" s="37"/>
      <c r="V445" s="37"/>
    </row>
    <row r="446">
      <c r="A446" s="39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7"/>
      <c r="O446" s="37"/>
      <c r="P446" s="37"/>
      <c r="Q446" s="37"/>
      <c r="R446" s="37"/>
      <c r="S446" s="37"/>
      <c r="T446" s="37"/>
      <c r="U446" s="37"/>
      <c r="V446" s="37"/>
    </row>
    <row r="447">
      <c r="A447" s="39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7"/>
      <c r="O447" s="37"/>
      <c r="P447" s="37"/>
      <c r="Q447" s="37"/>
      <c r="R447" s="37"/>
      <c r="S447" s="37"/>
      <c r="T447" s="37"/>
      <c r="U447" s="37"/>
      <c r="V447" s="37"/>
    </row>
    <row r="448">
      <c r="A448" s="39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7"/>
      <c r="O448" s="37"/>
      <c r="P448" s="37"/>
      <c r="Q448" s="37"/>
      <c r="R448" s="37"/>
      <c r="S448" s="37"/>
      <c r="T448" s="37"/>
      <c r="U448" s="37"/>
      <c r="V448" s="37"/>
    </row>
    <row r="449">
      <c r="A449" s="39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7"/>
      <c r="O449" s="37"/>
      <c r="P449" s="37"/>
      <c r="Q449" s="37"/>
      <c r="R449" s="37"/>
      <c r="S449" s="37"/>
      <c r="T449" s="37"/>
      <c r="U449" s="37"/>
      <c r="V449" s="37"/>
    </row>
    <row r="450">
      <c r="A450" s="39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7"/>
      <c r="O450" s="37"/>
      <c r="P450" s="37"/>
      <c r="Q450" s="37"/>
      <c r="R450" s="37"/>
      <c r="S450" s="37"/>
      <c r="T450" s="37"/>
      <c r="U450" s="37"/>
      <c r="V450" s="37"/>
    </row>
    <row r="451">
      <c r="A451" s="39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7"/>
      <c r="O451" s="37"/>
      <c r="P451" s="37"/>
      <c r="Q451" s="37"/>
      <c r="R451" s="37"/>
      <c r="S451" s="37"/>
      <c r="T451" s="37"/>
      <c r="U451" s="37"/>
      <c r="V451" s="37"/>
    </row>
    <row r="452">
      <c r="A452" s="39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7"/>
      <c r="O452" s="37"/>
      <c r="P452" s="37"/>
      <c r="Q452" s="37"/>
      <c r="R452" s="37"/>
      <c r="S452" s="37"/>
      <c r="T452" s="37"/>
      <c r="U452" s="37"/>
      <c r="V452" s="37"/>
    </row>
    <row r="453">
      <c r="A453" s="39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7"/>
      <c r="O453" s="37"/>
      <c r="P453" s="37"/>
      <c r="Q453" s="37"/>
      <c r="R453" s="37"/>
      <c r="S453" s="37"/>
      <c r="T453" s="37"/>
      <c r="U453" s="37"/>
      <c r="V453" s="37"/>
    </row>
    <row r="454">
      <c r="A454" s="39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7"/>
      <c r="O454" s="37"/>
      <c r="P454" s="37"/>
      <c r="Q454" s="37"/>
      <c r="R454" s="37"/>
      <c r="S454" s="37"/>
      <c r="T454" s="37"/>
      <c r="U454" s="37"/>
      <c r="V454" s="37"/>
    </row>
    <row r="455">
      <c r="A455" s="39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7"/>
      <c r="O455" s="37"/>
      <c r="P455" s="37"/>
      <c r="Q455" s="37"/>
      <c r="R455" s="37"/>
      <c r="S455" s="37"/>
      <c r="T455" s="37"/>
      <c r="U455" s="37"/>
      <c r="V455" s="37"/>
    </row>
    <row r="456">
      <c r="A456" s="39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7"/>
      <c r="O456" s="37"/>
      <c r="P456" s="37"/>
      <c r="Q456" s="37"/>
      <c r="R456" s="37"/>
      <c r="S456" s="37"/>
      <c r="T456" s="37"/>
      <c r="U456" s="37"/>
      <c r="V456" s="37"/>
    </row>
    <row r="457">
      <c r="A457" s="39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7"/>
      <c r="O457" s="37"/>
      <c r="P457" s="37"/>
      <c r="Q457" s="37"/>
      <c r="R457" s="37"/>
      <c r="S457" s="37"/>
      <c r="T457" s="37"/>
      <c r="U457" s="37"/>
      <c r="V457" s="37"/>
    </row>
    <row r="458">
      <c r="A458" s="39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7"/>
      <c r="O458" s="37"/>
      <c r="P458" s="37"/>
      <c r="Q458" s="37"/>
      <c r="R458" s="37"/>
      <c r="S458" s="37"/>
      <c r="T458" s="37"/>
      <c r="U458" s="37"/>
      <c r="V458" s="37"/>
    </row>
    <row r="459">
      <c r="A459" s="39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7"/>
      <c r="O459" s="37"/>
      <c r="P459" s="37"/>
      <c r="Q459" s="37"/>
      <c r="R459" s="37"/>
      <c r="S459" s="37"/>
      <c r="T459" s="37"/>
      <c r="U459" s="37"/>
      <c r="V459" s="37"/>
    </row>
    <row r="460">
      <c r="A460" s="39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7"/>
      <c r="O460" s="37"/>
      <c r="P460" s="37"/>
      <c r="Q460" s="37"/>
      <c r="R460" s="37"/>
      <c r="S460" s="37"/>
      <c r="T460" s="37"/>
      <c r="U460" s="37"/>
      <c r="V460" s="37"/>
    </row>
    <row r="461">
      <c r="A461" s="39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7"/>
      <c r="O461" s="37"/>
      <c r="P461" s="37"/>
      <c r="Q461" s="37"/>
      <c r="R461" s="37"/>
      <c r="S461" s="37"/>
      <c r="T461" s="37"/>
      <c r="U461" s="37"/>
      <c r="V461" s="37"/>
    </row>
    <row r="462">
      <c r="A462" s="39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7"/>
      <c r="O462" s="37"/>
      <c r="P462" s="37"/>
      <c r="Q462" s="37"/>
      <c r="R462" s="37"/>
      <c r="S462" s="37"/>
      <c r="T462" s="37"/>
      <c r="U462" s="37"/>
      <c r="V462" s="37"/>
    </row>
    <row r="463">
      <c r="A463" s="39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7"/>
      <c r="O463" s="37"/>
      <c r="P463" s="37"/>
      <c r="Q463" s="37"/>
      <c r="R463" s="37"/>
      <c r="S463" s="37"/>
      <c r="T463" s="37"/>
      <c r="U463" s="37"/>
      <c r="V463" s="37"/>
    </row>
    <row r="464">
      <c r="A464" s="39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7"/>
      <c r="O464" s="37"/>
      <c r="P464" s="37"/>
      <c r="Q464" s="37"/>
      <c r="R464" s="37"/>
      <c r="S464" s="37"/>
      <c r="T464" s="37"/>
      <c r="U464" s="37"/>
      <c r="V464" s="37"/>
    </row>
    <row r="465">
      <c r="A465" s="39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7"/>
      <c r="O465" s="37"/>
      <c r="P465" s="37"/>
      <c r="Q465" s="37"/>
      <c r="R465" s="37"/>
      <c r="S465" s="37"/>
      <c r="T465" s="37"/>
      <c r="U465" s="37"/>
      <c r="V465" s="37"/>
    </row>
    <row r="466">
      <c r="A466" s="39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7"/>
      <c r="O466" s="37"/>
      <c r="P466" s="37"/>
      <c r="Q466" s="37"/>
      <c r="R466" s="37"/>
      <c r="S466" s="37"/>
      <c r="T466" s="37"/>
      <c r="U466" s="37"/>
      <c r="V466" s="37"/>
    </row>
    <row r="467">
      <c r="A467" s="39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7"/>
      <c r="O467" s="37"/>
      <c r="P467" s="37"/>
      <c r="Q467" s="37"/>
      <c r="R467" s="37"/>
      <c r="S467" s="37"/>
      <c r="T467" s="37"/>
      <c r="U467" s="37"/>
      <c r="V467" s="37"/>
    </row>
    <row r="468">
      <c r="A468" s="39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7"/>
      <c r="O468" s="37"/>
      <c r="P468" s="37"/>
      <c r="Q468" s="37"/>
      <c r="R468" s="37"/>
      <c r="S468" s="37"/>
      <c r="T468" s="37"/>
      <c r="U468" s="37"/>
      <c r="V468" s="37"/>
    </row>
    <row r="469">
      <c r="A469" s="39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7"/>
      <c r="O469" s="37"/>
      <c r="P469" s="37"/>
      <c r="Q469" s="37"/>
      <c r="R469" s="37"/>
      <c r="S469" s="37"/>
      <c r="T469" s="37"/>
      <c r="U469" s="37"/>
      <c r="V469" s="37"/>
    </row>
    <row r="470">
      <c r="A470" s="39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7"/>
      <c r="O470" s="37"/>
      <c r="P470" s="37"/>
      <c r="Q470" s="37"/>
      <c r="R470" s="37"/>
      <c r="S470" s="37"/>
      <c r="T470" s="37"/>
      <c r="U470" s="37"/>
      <c r="V470" s="37"/>
    </row>
    <row r="471">
      <c r="A471" s="39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7"/>
      <c r="O471" s="37"/>
      <c r="P471" s="37"/>
      <c r="Q471" s="37"/>
      <c r="R471" s="37"/>
      <c r="S471" s="37"/>
      <c r="T471" s="37"/>
      <c r="U471" s="37"/>
      <c r="V471" s="37"/>
    </row>
    <row r="472">
      <c r="A472" s="39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7"/>
      <c r="O472" s="37"/>
      <c r="P472" s="37"/>
      <c r="Q472" s="37"/>
      <c r="R472" s="37"/>
      <c r="S472" s="37"/>
      <c r="T472" s="37"/>
      <c r="U472" s="37"/>
      <c r="V472" s="37"/>
    </row>
    <row r="473">
      <c r="A473" s="39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7"/>
      <c r="O473" s="37"/>
      <c r="P473" s="37"/>
      <c r="Q473" s="37"/>
      <c r="R473" s="37"/>
      <c r="S473" s="37"/>
      <c r="T473" s="37"/>
      <c r="U473" s="37"/>
      <c r="V473" s="37"/>
    </row>
    <row r="474">
      <c r="A474" s="39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7"/>
      <c r="O474" s="37"/>
      <c r="P474" s="37"/>
      <c r="Q474" s="37"/>
      <c r="R474" s="37"/>
      <c r="S474" s="37"/>
      <c r="T474" s="37"/>
      <c r="U474" s="37"/>
      <c r="V474" s="37"/>
    </row>
    <row r="475">
      <c r="A475" s="39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7"/>
      <c r="O475" s="37"/>
      <c r="P475" s="37"/>
      <c r="Q475" s="37"/>
      <c r="R475" s="37"/>
      <c r="S475" s="37"/>
      <c r="T475" s="37"/>
      <c r="U475" s="37"/>
      <c r="V475" s="37"/>
    </row>
    <row r="476">
      <c r="A476" s="39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7"/>
      <c r="O476" s="37"/>
      <c r="P476" s="37"/>
      <c r="Q476" s="37"/>
      <c r="R476" s="37"/>
      <c r="S476" s="37"/>
      <c r="T476" s="37"/>
      <c r="U476" s="37"/>
      <c r="V476" s="37"/>
    </row>
    <row r="477">
      <c r="A477" s="39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7"/>
      <c r="O477" s="37"/>
      <c r="P477" s="37"/>
      <c r="Q477" s="37"/>
      <c r="R477" s="37"/>
      <c r="S477" s="37"/>
      <c r="T477" s="37"/>
      <c r="U477" s="37"/>
      <c r="V477" s="37"/>
    </row>
    <row r="478">
      <c r="A478" s="39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7"/>
      <c r="O478" s="37"/>
      <c r="P478" s="37"/>
      <c r="Q478" s="37"/>
      <c r="R478" s="37"/>
      <c r="S478" s="37"/>
      <c r="T478" s="37"/>
      <c r="U478" s="37"/>
      <c r="V478" s="37"/>
    </row>
    <row r="479">
      <c r="A479" s="39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7"/>
      <c r="O479" s="37"/>
      <c r="P479" s="37"/>
      <c r="Q479" s="37"/>
      <c r="R479" s="37"/>
      <c r="S479" s="37"/>
      <c r="T479" s="37"/>
      <c r="U479" s="37"/>
      <c r="V479" s="37"/>
    </row>
    <row r="480">
      <c r="A480" s="39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7"/>
      <c r="O480" s="37"/>
      <c r="P480" s="37"/>
      <c r="Q480" s="37"/>
      <c r="R480" s="37"/>
      <c r="S480" s="37"/>
      <c r="T480" s="37"/>
      <c r="U480" s="37"/>
      <c r="V480" s="37"/>
    </row>
    <row r="481">
      <c r="A481" s="39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7"/>
      <c r="O481" s="37"/>
      <c r="P481" s="37"/>
      <c r="Q481" s="37"/>
      <c r="R481" s="37"/>
      <c r="S481" s="37"/>
      <c r="T481" s="37"/>
      <c r="U481" s="37"/>
      <c r="V481" s="37"/>
    </row>
    <row r="482">
      <c r="A482" s="39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7"/>
      <c r="O482" s="37"/>
      <c r="P482" s="37"/>
      <c r="Q482" s="37"/>
      <c r="R482" s="37"/>
      <c r="S482" s="37"/>
      <c r="T482" s="37"/>
      <c r="U482" s="37"/>
      <c r="V482" s="37"/>
    </row>
    <row r="483">
      <c r="A483" s="39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7"/>
      <c r="O483" s="37"/>
      <c r="P483" s="37"/>
      <c r="Q483" s="37"/>
      <c r="R483" s="37"/>
      <c r="S483" s="37"/>
      <c r="T483" s="37"/>
      <c r="U483" s="37"/>
      <c r="V483" s="37"/>
    </row>
    <row r="484">
      <c r="A484" s="39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7"/>
      <c r="O484" s="37"/>
      <c r="P484" s="37"/>
      <c r="Q484" s="37"/>
      <c r="R484" s="37"/>
      <c r="S484" s="37"/>
      <c r="T484" s="37"/>
      <c r="U484" s="37"/>
      <c r="V484" s="37"/>
    </row>
    <row r="485">
      <c r="A485" s="39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7"/>
      <c r="O485" s="37"/>
      <c r="P485" s="37"/>
      <c r="Q485" s="37"/>
      <c r="R485" s="37"/>
      <c r="S485" s="37"/>
      <c r="T485" s="37"/>
      <c r="U485" s="37"/>
      <c r="V485" s="37"/>
    </row>
    <row r="486">
      <c r="A486" s="39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7"/>
      <c r="O486" s="37"/>
      <c r="P486" s="37"/>
      <c r="Q486" s="37"/>
      <c r="R486" s="37"/>
      <c r="S486" s="37"/>
      <c r="T486" s="37"/>
      <c r="U486" s="37"/>
      <c r="V486" s="37"/>
    </row>
    <row r="487">
      <c r="A487" s="39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7"/>
      <c r="O487" s="37"/>
      <c r="P487" s="37"/>
      <c r="Q487" s="37"/>
      <c r="R487" s="37"/>
      <c r="S487" s="37"/>
      <c r="T487" s="37"/>
      <c r="U487" s="37"/>
      <c r="V487" s="37"/>
    </row>
    <row r="488">
      <c r="A488" s="39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7"/>
      <c r="O488" s="37"/>
      <c r="P488" s="37"/>
      <c r="Q488" s="37"/>
      <c r="R488" s="37"/>
      <c r="S488" s="37"/>
      <c r="T488" s="37"/>
      <c r="U488" s="37"/>
      <c r="V488" s="37"/>
    </row>
    <row r="489">
      <c r="A489" s="39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7"/>
      <c r="O489" s="37"/>
      <c r="P489" s="37"/>
      <c r="Q489" s="37"/>
      <c r="R489" s="37"/>
      <c r="S489" s="37"/>
      <c r="T489" s="37"/>
      <c r="U489" s="37"/>
      <c r="V489" s="37"/>
    </row>
    <row r="490">
      <c r="A490" s="39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7"/>
      <c r="O490" s="37"/>
      <c r="P490" s="37"/>
      <c r="Q490" s="37"/>
      <c r="R490" s="37"/>
      <c r="S490" s="37"/>
      <c r="T490" s="37"/>
      <c r="U490" s="37"/>
      <c r="V490" s="37"/>
    </row>
    <row r="491">
      <c r="A491" s="39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7"/>
      <c r="O491" s="37"/>
      <c r="P491" s="37"/>
      <c r="Q491" s="37"/>
      <c r="R491" s="37"/>
      <c r="S491" s="37"/>
      <c r="T491" s="37"/>
      <c r="U491" s="37"/>
      <c r="V491" s="37"/>
    </row>
    <row r="492">
      <c r="A492" s="39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7"/>
      <c r="O492" s="37"/>
      <c r="P492" s="37"/>
      <c r="Q492" s="37"/>
      <c r="R492" s="37"/>
      <c r="S492" s="37"/>
      <c r="T492" s="37"/>
      <c r="U492" s="37"/>
      <c r="V492" s="37"/>
    </row>
    <row r="493">
      <c r="A493" s="39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7"/>
      <c r="O493" s="37"/>
      <c r="P493" s="37"/>
      <c r="Q493" s="37"/>
      <c r="R493" s="37"/>
      <c r="S493" s="37"/>
      <c r="T493" s="37"/>
      <c r="U493" s="37"/>
      <c r="V493" s="37"/>
    </row>
    <row r="494">
      <c r="A494" s="39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7"/>
      <c r="O494" s="37"/>
      <c r="P494" s="37"/>
      <c r="Q494" s="37"/>
      <c r="R494" s="37"/>
      <c r="S494" s="37"/>
      <c r="T494" s="37"/>
      <c r="U494" s="37"/>
      <c r="V494" s="37"/>
    </row>
    <row r="495">
      <c r="A495" s="39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7"/>
      <c r="O495" s="37"/>
      <c r="P495" s="37"/>
      <c r="Q495" s="37"/>
      <c r="R495" s="37"/>
      <c r="S495" s="37"/>
      <c r="T495" s="37"/>
      <c r="U495" s="37"/>
      <c r="V495" s="37"/>
    </row>
    <row r="496">
      <c r="A496" s="39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7"/>
      <c r="O496" s="37"/>
      <c r="P496" s="37"/>
      <c r="Q496" s="37"/>
      <c r="R496" s="37"/>
      <c r="S496" s="37"/>
      <c r="T496" s="37"/>
      <c r="U496" s="37"/>
      <c r="V496" s="37"/>
    </row>
    <row r="497">
      <c r="A497" s="39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7"/>
      <c r="O497" s="37"/>
      <c r="P497" s="37"/>
      <c r="Q497" s="37"/>
      <c r="R497" s="37"/>
      <c r="S497" s="37"/>
      <c r="T497" s="37"/>
      <c r="U497" s="37"/>
      <c r="V497" s="37"/>
    </row>
    <row r="498">
      <c r="A498" s="39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7"/>
      <c r="O498" s="37"/>
      <c r="P498" s="37"/>
      <c r="Q498" s="37"/>
      <c r="R498" s="37"/>
      <c r="S498" s="37"/>
      <c r="T498" s="37"/>
      <c r="U498" s="37"/>
      <c r="V498" s="37"/>
    </row>
    <row r="499">
      <c r="A499" s="39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7"/>
      <c r="O499" s="37"/>
      <c r="P499" s="37"/>
      <c r="Q499" s="37"/>
      <c r="R499" s="37"/>
      <c r="S499" s="37"/>
      <c r="T499" s="37"/>
      <c r="U499" s="37"/>
      <c r="V499" s="37"/>
    </row>
    <row r="500">
      <c r="A500" s="39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7"/>
      <c r="O500" s="37"/>
      <c r="P500" s="37"/>
      <c r="Q500" s="37"/>
      <c r="R500" s="37"/>
      <c r="S500" s="37"/>
      <c r="T500" s="37"/>
      <c r="U500" s="37"/>
      <c r="V500" s="37"/>
    </row>
    <row r="501">
      <c r="A501" s="39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7"/>
      <c r="O501" s="37"/>
      <c r="P501" s="37"/>
      <c r="Q501" s="37"/>
      <c r="R501" s="37"/>
      <c r="S501" s="37"/>
      <c r="T501" s="37"/>
      <c r="U501" s="37"/>
      <c r="V501" s="37"/>
    </row>
    <row r="502">
      <c r="A502" s="39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7"/>
      <c r="O502" s="37"/>
      <c r="P502" s="37"/>
      <c r="Q502" s="37"/>
      <c r="R502" s="37"/>
      <c r="S502" s="37"/>
      <c r="T502" s="37"/>
      <c r="U502" s="37"/>
      <c r="V502" s="37"/>
    </row>
    <row r="503">
      <c r="A503" s="39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7"/>
      <c r="O503" s="37"/>
      <c r="P503" s="37"/>
      <c r="Q503" s="37"/>
      <c r="R503" s="37"/>
      <c r="S503" s="37"/>
      <c r="T503" s="37"/>
      <c r="U503" s="37"/>
      <c r="V503" s="37"/>
    </row>
    <row r="504">
      <c r="A504" s="39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7"/>
      <c r="O504" s="37"/>
      <c r="P504" s="37"/>
      <c r="Q504" s="37"/>
      <c r="R504" s="37"/>
      <c r="S504" s="37"/>
      <c r="T504" s="37"/>
      <c r="U504" s="37"/>
      <c r="V504" s="37"/>
    </row>
    <row r="505">
      <c r="A505" s="39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7"/>
      <c r="O505" s="37"/>
      <c r="P505" s="37"/>
      <c r="Q505" s="37"/>
      <c r="R505" s="37"/>
      <c r="S505" s="37"/>
      <c r="T505" s="37"/>
      <c r="U505" s="37"/>
      <c r="V505" s="37"/>
    </row>
    <row r="506">
      <c r="A506" s="39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7"/>
      <c r="O506" s="37"/>
      <c r="P506" s="37"/>
      <c r="Q506" s="37"/>
      <c r="R506" s="37"/>
      <c r="S506" s="37"/>
      <c r="T506" s="37"/>
      <c r="U506" s="37"/>
      <c r="V506" s="37"/>
    </row>
    <row r="507">
      <c r="A507" s="39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7"/>
      <c r="O507" s="37"/>
      <c r="P507" s="37"/>
      <c r="Q507" s="37"/>
      <c r="R507" s="37"/>
      <c r="S507" s="37"/>
      <c r="T507" s="37"/>
      <c r="U507" s="37"/>
      <c r="V507" s="37"/>
    </row>
    <row r="508">
      <c r="A508" s="39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7"/>
      <c r="O508" s="37"/>
      <c r="P508" s="37"/>
      <c r="Q508" s="37"/>
      <c r="R508" s="37"/>
      <c r="S508" s="37"/>
      <c r="T508" s="37"/>
      <c r="U508" s="37"/>
      <c r="V508" s="37"/>
    </row>
    <row r="509">
      <c r="A509" s="39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7"/>
      <c r="O509" s="37"/>
      <c r="P509" s="37"/>
      <c r="Q509" s="37"/>
      <c r="R509" s="37"/>
      <c r="S509" s="37"/>
      <c r="T509" s="37"/>
      <c r="U509" s="37"/>
      <c r="V509" s="37"/>
    </row>
    <row r="510">
      <c r="A510" s="39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7"/>
      <c r="O510" s="37"/>
      <c r="P510" s="37"/>
      <c r="Q510" s="37"/>
      <c r="R510" s="37"/>
      <c r="S510" s="37"/>
      <c r="T510" s="37"/>
      <c r="U510" s="37"/>
      <c r="V510" s="37"/>
    </row>
    <row r="511">
      <c r="A511" s="39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7"/>
      <c r="O511" s="37"/>
      <c r="P511" s="37"/>
      <c r="Q511" s="37"/>
      <c r="R511" s="37"/>
      <c r="S511" s="37"/>
      <c r="T511" s="37"/>
      <c r="U511" s="37"/>
      <c r="V511" s="37"/>
    </row>
    <row r="512">
      <c r="A512" s="39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7"/>
      <c r="O512" s="37"/>
      <c r="P512" s="37"/>
      <c r="Q512" s="37"/>
      <c r="R512" s="37"/>
      <c r="S512" s="37"/>
      <c r="T512" s="37"/>
      <c r="U512" s="37"/>
      <c r="V512" s="37"/>
    </row>
    <row r="513">
      <c r="A513" s="39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7"/>
      <c r="O513" s="37"/>
      <c r="P513" s="37"/>
      <c r="Q513" s="37"/>
      <c r="R513" s="37"/>
      <c r="S513" s="37"/>
      <c r="T513" s="37"/>
      <c r="U513" s="37"/>
      <c r="V513" s="37"/>
    </row>
    <row r="514">
      <c r="A514" s="39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7"/>
      <c r="O514" s="37"/>
      <c r="P514" s="37"/>
      <c r="Q514" s="37"/>
      <c r="R514" s="37"/>
      <c r="S514" s="37"/>
      <c r="T514" s="37"/>
      <c r="U514" s="37"/>
      <c r="V514" s="37"/>
    </row>
    <row r="515">
      <c r="A515" s="39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7"/>
      <c r="O515" s="37"/>
      <c r="P515" s="37"/>
      <c r="Q515" s="37"/>
      <c r="R515" s="37"/>
      <c r="S515" s="37"/>
      <c r="T515" s="37"/>
      <c r="U515" s="37"/>
      <c r="V515" s="37"/>
    </row>
    <row r="516">
      <c r="A516" s="39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7"/>
      <c r="O516" s="37"/>
      <c r="P516" s="37"/>
      <c r="Q516" s="37"/>
      <c r="R516" s="37"/>
      <c r="S516" s="37"/>
      <c r="T516" s="37"/>
      <c r="U516" s="37"/>
      <c r="V516" s="37"/>
    </row>
    <row r="517">
      <c r="A517" s="39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7"/>
      <c r="O517" s="37"/>
      <c r="P517" s="37"/>
      <c r="Q517" s="37"/>
      <c r="R517" s="37"/>
      <c r="S517" s="37"/>
      <c r="T517" s="37"/>
      <c r="U517" s="37"/>
      <c r="V517" s="37"/>
    </row>
    <row r="518">
      <c r="A518" s="39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7"/>
      <c r="O518" s="37"/>
      <c r="P518" s="37"/>
      <c r="Q518" s="37"/>
      <c r="R518" s="37"/>
      <c r="S518" s="37"/>
      <c r="T518" s="37"/>
      <c r="U518" s="37"/>
      <c r="V518" s="37"/>
    </row>
    <row r="519">
      <c r="A519" s="39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7"/>
      <c r="O519" s="37"/>
      <c r="P519" s="37"/>
      <c r="Q519" s="37"/>
      <c r="R519" s="37"/>
      <c r="S519" s="37"/>
      <c r="T519" s="37"/>
      <c r="U519" s="37"/>
      <c r="V519" s="37"/>
    </row>
    <row r="520">
      <c r="A520" s="39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7"/>
      <c r="O520" s="37"/>
      <c r="P520" s="37"/>
      <c r="Q520" s="37"/>
      <c r="R520" s="37"/>
      <c r="S520" s="37"/>
      <c r="T520" s="37"/>
      <c r="U520" s="37"/>
      <c r="V520" s="37"/>
    </row>
    <row r="521">
      <c r="A521" s="39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7"/>
      <c r="O521" s="37"/>
      <c r="P521" s="37"/>
      <c r="Q521" s="37"/>
      <c r="R521" s="37"/>
      <c r="S521" s="37"/>
      <c r="T521" s="37"/>
      <c r="U521" s="37"/>
      <c r="V521" s="37"/>
    </row>
    <row r="522">
      <c r="A522" s="39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7"/>
      <c r="O522" s="37"/>
      <c r="P522" s="37"/>
      <c r="Q522" s="37"/>
      <c r="R522" s="37"/>
      <c r="S522" s="37"/>
      <c r="T522" s="37"/>
      <c r="U522" s="37"/>
      <c r="V522" s="37"/>
    </row>
    <row r="523">
      <c r="A523" s="39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7"/>
      <c r="O523" s="37"/>
      <c r="P523" s="37"/>
      <c r="Q523" s="37"/>
      <c r="R523" s="37"/>
      <c r="S523" s="37"/>
      <c r="T523" s="37"/>
      <c r="U523" s="37"/>
      <c r="V523" s="37"/>
    </row>
    <row r="524">
      <c r="A524" s="39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7"/>
      <c r="O524" s="37"/>
      <c r="P524" s="37"/>
      <c r="Q524" s="37"/>
      <c r="R524" s="37"/>
      <c r="S524" s="37"/>
      <c r="T524" s="37"/>
      <c r="U524" s="37"/>
      <c r="V524" s="37"/>
    </row>
    <row r="525">
      <c r="A525" s="39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7"/>
      <c r="O525" s="37"/>
      <c r="P525" s="37"/>
      <c r="Q525" s="37"/>
      <c r="R525" s="37"/>
      <c r="S525" s="37"/>
      <c r="T525" s="37"/>
      <c r="U525" s="37"/>
      <c r="V525" s="37"/>
    </row>
    <row r="526">
      <c r="A526" s="39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7"/>
      <c r="O526" s="37"/>
      <c r="P526" s="37"/>
      <c r="Q526" s="37"/>
      <c r="R526" s="37"/>
      <c r="S526" s="37"/>
      <c r="T526" s="37"/>
      <c r="U526" s="37"/>
      <c r="V526" s="37"/>
    </row>
    <row r="527">
      <c r="A527" s="39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7"/>
      <c r="O527" s="37"/>
      <c r="P527" s="37"/>
      <c r="Q527" s="37"/>
      <c r="R527" s="37"/>
      <c r="S527" s="37"/>
      <c r="T527" s="37"/>
      <c r="U527" s="37"/>
      <c r="V527" s="37"/>
    </row>
    <row r="528">
      <c r="A528" s="39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7"/>
      <c r="O528" s="37"/>
      <c r="P528" s="37"/>
      <c r="Q528" s="37"/>
      <c r="R528" s="37"/>
      <c r="S528" s="37"/>
      <c r="T528" s="37"/>
      <c r="U528" s="37"/>
      <c r="V528" s="37"/>
    </row>
    <row r="529">
      <c r="A529" s="39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7"/>
      <c r="O529" s="37"/>
      <c r="P529" s="37"/>
      <c r="Q529" s="37"/>
      <c r="R529" s="37"/>
      <c r="S529" s="37"/>
      <c r="T529" s="37"/>
      <c r="U529" s="37"/>
      <c r="V529" s="37"/>
    </row>
    <row r="530">
      <c r="A530" s="39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7"/>
      <c r="O530" s="37"/>
      <c r="P530" s="37"/>
      <c r="Q530" s="37"/>
      <c r="R530" s="37"/>
      <c r="S530" s="37"/>
      <c r="T530" s="37"/>
      <c r="U530" s="37"/>
      <c r="V530" s="37"/>
    </row>
    <row r="531">
      <c r="A531" s="39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7"/>
      <c r="O531" s="37"/>
      <c r="P531" s="37"/>
      <c r="Q531" s="37"/>
      <c r="R531" s="37"/>
      <c r="S531" s="37"/>
      <c r="T531" s="37"/>
      <c r="U531" s="37"/>
      <c r="V531" s="37"/>
    </row>
    <row r="532">
      <c r="A532" s="39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7"/>
      <c r="O532" s="37"/>
      <c r="P532" s="37"/>
      <c r="Q532" s="37"/>
      <c r="R532" s="37"/>
      <c r="S532" s="37"/>
      <c r="T532" s="37"/>
      <c r="U532" s="37"/>
      <c r="V532" s="37"/>
    </row>
    <row r="533">
      <c r="A533" s="39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7"/>
      <c r="O533" s="37"/>
      <c r="P533" s="37"/>
      <c r="Q533" s="37"/>
      <c r="R533" s="37"/>
      <c r="S533" s="37"/>
      <c r="T533" s="37"/>
      <c r="U533" s="37"/>
      <c r="V533" s="37"/>
    </row>
    <row r="534">
      <c r="A534" s="39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7"/>
      <c r="O534" s="37"/>
      <c r="P534" s="37"/>
      <c r="Q534" s="37"/>
      <c r="R534" s="37"/>
      <c r="S534" s="37"/>
      <c r="T534" s="37"/>
      <c r="U534" s="37"/>
      <c r="V534" s="37"/>
    </row>
    <row r="535">
      <c r="A535" s="39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7"/>
      <c r="O535" s="37"/>
      <c r="P535" s="37"/>
      <c r="Q535" s="37"/>
      <c r="R535" s="37"/>
      <c r="S535" s="37"/>
      <c r="T535" s="37"/>
      <c r="U535" s="37"/>
      <c r="V535" s="37"/>
    </row>
    <row r="536">
      <c r="A536" s="39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7"/>
      <c r="O536" s="37"/>
      <c r="P536" s="37"/>
      <c r="Q536" s="37"/>
      <c r="R536" s="37"/>
      <c r="S536" s="37"/>
      <c r="T536" s="37"/>
      <c r="U536" s="37"/>
      <c r="V536" s="37"/>
    </row>
    <row r="537">
      <c r="A537" s="39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7"/>
      <c r="O537" s="37"/>
      <c r="P537" s="37"/>
      <c r="Q537" s="37"/>
      <c r="R537" s="37"/>
      <c r="S537" s="37"/>
      <c r="T537" s="37"/>
      <c r="U537" s="37"/>
      <c r="V537" s="37"/>
    </row>
    <row r="538">
      <c r="A538" s="39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7"/>
      <c r="O538" s="37"/>
      <c r="P538" s="37"/>
      <c r="Q538" s="37"/>
      <c r="R538" s="37"/>
      <c r="S538" s="37"/>
      <c r="T538" s="37"/>
      <c r="U538" s="37"/>
      <c r="V538" s="37"/>
    </row>
    <row r="539">
      <c r="A539" s="39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7"/>
      <c r="O539" s="37"/>
      <c r="P539" s="37"/>
      <c r="Q539" s="37"/>
      <c r="R539" s="37"/>
      <c r="S539" s="37"/>
      <c r="T539" s="37"/>
      <c r="U539" s="37"/>
      <c r="V539" s="37"/>
    </row>
    <row r="540">
      <c r="A540" s="39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7"/>
      <c r="O540" s="37"/>
      <c r="P540" s="37"/>
      <c r="Q540" s="37"/>
      <c r="R540" s="37"/>
      <c r="S540" s="37"/>
      <c r="T540" s="37"/>
      <c r="U540" s="37"/>
      <c r="V540" s="37"/>
    </row>
    <row r="541">
      <c r="A541" s="39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7"/>
      <c r="O541" s="37"/>
      <c r="P541" s="37"/>
      <c r="Q541" s="37"/>
      <c r="R541" s="37"/>
      <c r="S541" s="37"/>
      <c r="T541" s="37"/>
      <c r="U541" s="37"/>
      <c r="V541" s="37"/>
    </row>
    <row r="542">
      <c r="A542" s="39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7"/>
      <c r="O542" s="37"/>
      <c r="P542" s="37"/>
      <c r="Q542" s="37"/>
      <c r="R542" s="37"/>
      <c r="S542" s="37"/>
      <c r="T542" s="37"/>
      <c r="U542" s="37"/>
      <c r="V542" s="37"/>
    </row>
    <row r="543">
      <c r="A543" s="39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7"/>
      <c r="O543" s="37"/>
      <c r="P543" s="37"/>
      <c r="Q543" s="37"/>
      <c r="R543" s="37"/>
      <c r="S543" s="37"/>
      <c r="T543" s="37"/>
      <c r="U543" s="37"/>
      <c r="V543" s="37"/>
    </row>
    <row r="544">
      <c r="A544" s="39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7"/>
      <c r="O544" s="37"/>
      <c r="P544" s="37"/>
      <c r="Q544" s="37"/>
      <c r="R544" s="37"/>
      <c r="S544" s="37"/>
      <c r="T544" s="37"/>
      <c r="U544" s="37"/>
      <c r="V544" s="37"/>
    </row>
    <row r="545">
      <c r="A545" s="39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7"/>
      <c r="O545" s="37"/>
      <c r="P545" s="37"/>
      <c r="Q545" s="37"/>
      <c r="R545" s="37"/>
      <c r="S545" s="37"/>
      <c r="T545" s="37"/>
      <c r="U545" s="37"/>
      <c r="V545" s="37"/>
    </row>
    <row r="546">
      <c r="A546" s="39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7"/>
      <c r="O546" s="37"/>
      <c r="P546" s="37"/>
      <c r="Q546" s="37"/>
      <c r="R546" s="37"/>
      <c r="S546" s="37"/>
      <c r="T546" s="37"/>
      <c r="U546" s="37"/>
      <c r="V546" s="37"/>
    </row>
    <row r="547">
      <c r="A547" s="39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7"/>
      <c r="O547" s="37"/>
      <c r="P547" s="37"/>
      <c r="Q547" s="37"/>
      <c r="R547" s="37"/>
      <c r="S547" s="37"/>
      <c r="T547" s="37"/>
      <c r="U547" s="37"/>
      <c r="V547" s="37"/>
    </row>
    <row r="548">
      <c r="A548" s="39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7"/>
      <c r="O548" s="37"/>
      <c r="P548" s="37"/>
      <c r="Q548" s="37"/>
      <c r="R548" s="37"/>
      <c r="S548" s="37"/>
      <c r="T548" s="37"/>
      <c r="U548" s="37"/>
      <c r="V548" s="37"/>
    </row>
    <row r="549">
      <c r="A549" s="39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7"/>
      <c r="O549" s="37"/>
      <c r="P549" s="37"/>
      <c r="Q549" s="37"/>
      <c r="R549" s="37"/>
      <c r="S549" s="37"/>
      <c r="T549" s="37"/>
      <c r="U549" s="37"/>
      <c r="V549" s="37"/>
    </row>
    <row r="550">
      <c r="A550" s="39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7"/>
      <c r="O550" s="37"/>
      <c r="P550" s="37"/>
      <c r="Q550" s="37"/>
      <c r="R550" s="37"/>
      <c r="S550" s="37"/>
      <c r="T550" s="37"/>
      <c r="U550" s="37"/>
      <c r="V550" s="37"/>
    </row>
    <row r="551">
      <c r="A551" s="39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7"/>
      <c r="O551" s="37"/>
      <c r="P551" s="37"/>
      <c r="Q551" s="37"/>
      <c r="R551" s="37"/>
      <c r="S551" s="37"/>
      <c r="T551" s="37"/>
      <c r="U551" s="37"/>
      <c r="V551" s="37"/>
    </row>
    <row r="552">
      <c r="A552" s="39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7"/>
      <c r="O552" s="37"/>
      <c r="P552" s="37"/>
      <c r="Q552" s="37"/>
      <c r="R552" s="37"/>
      <c r="S552" s="37"/>
      <c r="T552" s="37"/>
      <c r="U552" s="37"/>
      <c r="V552" s="37"/>
    </row>
    <row r="553">
      <c r="A553" s="39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7"/>
      <c r="O553" s="37"/>
      <c r="P553" s="37"/>
      <c r="Q553" s="37"/>
      <c r="R553" s="37"/>
      <c r="S553" s="37"/>
      <c r="T553" s="37"/>
      <c r="U553" s="37"/>
      <c r="V553" s="37"/>
    </row>
    <row r="554">
      <c r="A554" s="39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7"/>
      <c r="O554" s="37"/>
      <c r="P554" s="37"/>
      <c r="Q554" s="37"/>
      <c r="R554" s="37"/>
      <c r="S554" s="37"/>
      <c r="T554" s="37"/>
      <c r="U554" s="37"/>
      <c r="V554" s="37"/>
    </row>
    <row r="555">
      <c r="A555" s="39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7"/>
      <c r="O555" s="37"/>
      <c r="P555" s="37"/>
      <c r="Q555" s="37"/>
      <c r="R555" s="37"/>
      <c r="S555" s="37"/>
      <c r="T555" s="37"/>
      <c r="U555" s="37"/>
      <c r="V555" s="37"/>
    </row>
    <row r="556">
      <c r="A556" s="39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7"/>
      <c r="O556" s="37"/>
      <c r="P556" s="37"/>
      <c r="Q556" s="37"/>
      <c r="R556" s="37"/>
      <c r="S556" s="37"/>
      <c r="T556" s="37"/>
      <c r="U556" s="37"/>
      <c r="V556" s="37"/>
    </row>
    <row r="557">
      <c r="A557" s="39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7"/>
      <c r="O557" s="37"/>
      <c r="P557" s="37"/>
      <c r="Q557" s="37"/>
      <c r="R557" s="37"/>
      <c r="S557" s="37"/>
      <c r="T557" s="37"/>
      <c r="U557" s="37"/>
      <c r="V557" s="37"/>
    </row>
    <row r="558">
      <c r="A558" s="39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7"/>
      <c r="O558" s="37"/>
      <c r="P558" s="37"/>
      <c r="Q558" s="37"/>
      <c r="R558" s="37"/>
      <c r="S558" s="37"/>
      <c r="T558" s="37"/>
      <c r="U558" s="37"/>
      <c r="V558" s="37"/>
    </row>
    <row r="559">
      <c r="A559" s="39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7"/>
      <c r="O559" s="37"/>
      <c r="P559" s="37"/>
      <c r="Q559" s="37"/>
      <c r="R559" s="37"/>
      <c r="S559" s="37"/>
      <c r="T559" s="37"/>
      <c r="U559" s="37"/>
      <c r="V559" s="37"/>
    </row>
    <row r="560">
      <c r="A560" s="39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7"/>
      <c r="O560" s="37"/>
      <c r="P560" s="37"/>
      <c r="Q560" s="37"/>
      <c r="R560" s="37"/>
      <c r="S560" s="37"/>
      <c r="T560" s="37"/>
      <c r="U560" s="37"/>
      <c r="V560" s="37"/>
    </row>
    <row r="561">
      <c r="A561" s="39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7"/>
      <c r="O561" s="37"/>
      <c r="P561" s="37"/>
      <c r="Q561" s="37"/>
      <c r="R561" s="37"/>
      <c r="S561" s="37"/>
      <c r="T561" s="37"/>
      <c r="U561" s="37"/>
      <c r="V561" s="37"/>
    </row>
    <row r="562">
      <c r="A562" s="39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7"/>
      <c r="O562" s="37"/>
      <c r="P562" s="37"/>
      <c r="Q562" s="37"/>
      <c r="R562" s="37"/>
      <c r="S562" s="37"/>
      <c r="T562" s="37"/>
      <c r="U562" s="37"/>
      <c r="V562" s="37"/>
    </row>
    <row r="563">
      <c r="A563" s="39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7"/>
      <c r="O563" s="37"/>
      <c r="P563" s="37"/>
      <c r="Q563" s="37"/>
      <c r="R563" s="37"/>
      <c r="S563" s="37"/>
      <c r="T563" s="37"/>
      <c r="U563" s="37"/>
      <c r="V563" s="37"/>
    </row>
    <row r="564">
      <c r="A564" s="39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7"/>
      <c r="O564" s="37"/>
      <c r="P564" s="37"/>
      <c r="Q564" s="37"/>
      <c r="R564" s="37"/>
      <c r="S564" s="37"/>
      <c r="T564" s="37"/>
      <c r="U564" s="37"/>
      <c r="V564" s="37"/>
    </row>
    <row r="565">
      <c r="A565" s="39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7"/>
      <c r="O565" s="37"/>
      <c r="P565" s="37"/>
      <c r="Q565" s="37"/>
      <c r="R565" s="37"/>
      <c r="S565" s="37"/>
      <c r="T565" s="37"/>
      <c r="U565" s="37"/>
      <c r="V565" s="37"/>
    </row>
    <row r="566">
      <c r="A566" s="39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7"/>
      <c r="O566" s="37"/>
      <c r="P566" s="37"/>
      <c r="Q566" s="37"/>
      <c r="R566" s="37"/>
      <c r="S566" s="37"/>
      <c r="T566" s="37"/>
      <c r="U566" s="37"/>
      <c r="V566" s="37"/>
    </row>
    <row r="567">
      <c r="A567" s="39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7"/>
      <c r="O567" s="37"/>
      <c r="P567" s="37"/>
      <c r="Q567" s="37"/>
      <c r="R567" s="37"/>
      <c r="S567" s="37"/>
      <c r="T567" s="37"/>
      <c r="U567" s="37"/>
      <c r="V567" s="37"/>
    </row>
    <row r="568">
      <c r="A568" s="39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7"/>
      <c r="O568" s="37"/>
      <c r="P568" s="37"/>
      <c r="Q568" s="37"/>
      <c r="R568" s="37"/>
      <c r="S568" s="37"/>
      <c r="T568" s="37"/>
      <c r="U568" s="37"/>
      <c r="V568" s="37"/>
    </row>
    <row r="569">
      <c r="A569" s="39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7"/>
      <c r="O569" s="37"/>
      <c r="P569" s="37"/>
      <c r="Q569" s="37"/>
      <c r="R569" s="37"/>
      <c r="S569" s="37"/>
      <c r="T569" s="37"/>
      <c r="U569" s="37"/>
      <c r="V569" s="37"/>
    </row>
    <row r="570">
      <c r="A570" s="39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7"/>
      <c r="O570" s="37"/>
      <c r="P570" s="37"/>
      <c r="Q570" s="37"/>
      <c r="R570" s="37"/>
      <c r="S570" s="37"/>
      <c r="T570" s="37"/>
      <c r="U570" s="37"/>
      <c r="V570" s="37"/>
    </row>
    <row r="571">
      <c r="A571" s="39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7"/>
      <c r="O571" s="37"/>
      <c r="P571" s="37"/>
      <c r="Q571" s="37"/>
      <c r="R571" s="37"/>
      <c r="S571" s="37"/>
      <c r="T571" s="37"/>
      <c r="U571" s="37"/>
      <c r="V571" s="37"/>
    </row>
    <row r="572">
      <c r="A572" s="39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7"/>
      <c r="O572" s="37"/>
      <c r="P572" s="37"/>
      <c r="Q572" s="37"/>
      <c r="R572" s="37"/>
      <c r="S572" s="37"/>
      <c r="T572" s="37"/>
      <c r="U572" s="37"/>
      <c r="V572" s="37"/>
    </row>
    <row r="573">
      <c r="A573" s="39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7"/>
      <c r="O573" s="37"/>
      <c r="P573" s="37"/>
      <c r="Q573" s="37"/>
      <c r="R573" s="37"/>
      <c r="S573" s="37"/>
      <c r="T573" s="37"/>
      <c r="U573" s="37"/>
      <c r="V573" s="37"/>
    </row>
    <row r="574">
      <c r="A574" s="39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7"/>
      <c r="O574" s="37"/>
      <c r="P574" s="37"/>
      <c r="Q574" s="37"/>
      <c r="R574" s="37"/>
      <c r="S574" s="37"/>
      <c r="T574" s="37"/>
      <c r="U574" s="37"/>
      <c r="V574" s="37"/>
    </row>
    <row r="575">
      <c r="A575" s="39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7"/>
      <c r="O575" s="37"/>
      <c r="P575" s="37"/>
      <c r="Q575" s="37"/>
      <c r="R575" s="37"/>
      <c r="S575" s="37"/>
      <c r="T575" s="37"/>
      <c r="U575" s="37"/>
      <c r="V575" s="37"/>
    </row>
    <row r="576">
      <c r="A576" s="39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7"/>
      <c r="O576" s="37"/>
      <c r="P576" s="37"/>
      <c r="Q576" s="37"/>
      <c r="R576" s="37"/>
      <c r="S576" s="37"/>
      <c r="T576" s="37"/>
      <c r="U576" s="37"/>
      <c r="V576" s="37"/>
    </row>
    <row r="577">
      <c r="A577" s="39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7"/>
      <c r="O577" s="37"/>
      <c r="P577" s="37"/>
      <c r="Q577" s="37"/>
      <c r="R577" s="37"/>
      <c r="S577" s="37"/>
      <c r="T577" s="37"/>
      <c r="U577" s="37"/>
      <c r="V577" s="37"/>
    </row>
    <row r="578">
      <c r="A578" s="39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7"/>
      <c r="O578" s="37"/>
      <c r="P578" s="37"/>
      <c r="Q578" s="37"/>
      <c r="R578" s="37"/>
      <c r="S578" s="37"/>
      <c r="T578" s="37"/>
      <c r="U578" s="37"/>
      <c r="V578" s="37"/>
    </row>
    <row r="579">
      <c r="A579" s="39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7"/>
      <c r="O579" s="37"/>
      <c r="P579" s="37"/>
      <c r="Q579" s="37"/>
      <c r="R579" s="37"/>
      <c r="S579" s="37"/>
      <c r="T579" s="37"/>
      <c r="U579" s="37"/>
      <c r="V579" s="37"/>
    </row>
    <row r="580">
      <c r="A580" s="39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7"/>
      <c r="O580" s="37"/>
      <c r="P580" s="37"/>
      <c r="Q580" s="37"/>
      <c r="R580" s="37"/>
      <c r="S580" s="37"/>
      <c r="T580" s="37"/>
      <c r="U580" s="37"/>
      <c r="V580" s="37"/>
    </row>
    <row r="581">
      <c r="A581" s="39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7"/>
      <c r="O581" s="37"/>
      <c r="P581" s="37"/>
      <c r="Q581" s="37"/>
      <c r="R581" s="37"/>
      <c r="S581" s="37"/>
      <c r="T581" s="37"/>
      <c r="U581" s="37"/>
      <c r="V581" s="37"/>
    </row>
    <row r="582">
      <c r="A582" s="39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7"/>
      <c r="O582" s="37"/>
      <c r="P582" s="37"/>
      <c r="Q582" s="37"/>
      <c r="R582" s="37"/>
      <c r="S582" s="37"/>
      <c r="T582" s="37"/>
      <c r="U582" s="37"/>
      <c r="V582" s="37"/>
    </row>
    <row r="583">
      <c r="A583" s="39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7"/>
      <c r="O583" s="37"/>
      <c r="P583" s="37"/>
      <c r="Q583" s="37"/>
      <c r="R583" s="37"/>
      <c r="S583" s="37"/>
      <c r="T583" s="37"/>
      <c r="U583" s="37"/>
      <c r="V583" s="37"/>
    </row>
    <row r="584">
      <c r="A584" s="39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7"/>
      <c r="O584" s="37"/>
      <c r="P584" s="37"/>
      <c r="Q584" s="37"/>
      <c r="R584" s="37"/>
      <c r="S584" s="37"/>
      <c r="T584" s="37"/>
      <c r="U584" s="37"/>
      <c r="V584" s="37"/>
    </row>
    <row r="585">
      <c r="A585" s="39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7"/>
      <c r="O585" s="37"/>
      <c r="P585" s="37"/>
      <c r="Q585" s="37"/>
      <c r="R585" s="37"/>
      <c r="S585" s="37"/>
      <c r="T585" s="37"/>
      <c r="U585" s="37"/>
      <c r="V585" s="37"/>
    </row>
    <row r="586">
      <c r="A586" s="39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7"/>
      <c r="O586" s="37"/>
      <c r="P586" s="37"/>
      <c r="Q586" s="37"/>
      <c r="R586" s="37"/>
      <c r="S586" s="37"/>
      <c r="T586" s="37"/>
      <c r="U586" s="37"/>
      <c r="V586" s="37"/>
    </row>
    <row r="587">
      <c r="A587" s="39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7"/>
      <c r="O587" s="37"/>
      <c r="P587" s="37"/>
      <c r="Q587" s="37"/>
      <c r="R587" s="37"/>
      <c r="S587" s="37"/>
      <c r="T587" s="37"/>
      <c r="U587" s="37"/>
      <c r="V587" s="37"/>
    </row>
    <row r="588">
      <c r="A588" s="39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7"/>
      <c r="O588" s="37"/>
      <c r="P588" s="37"/>
      <c r="Q588" s="37"/>
      <c r="R588" s="37"/>
      <c r="S588" s="37"/>
      <c r="T588" s="37"/>
      <c r="U588" s="37"/>
      <c r="V588" s="37"/>
    </row>
    <row r="589">
      <c r="A589" s="39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7"/>
      <c r="O589" s="37"/>
      <c r="P589" s="37"/>
      <c r="Q589" s="37"/>
      <c r="R589" s="37"/>
      <c r="S589" s="37"/>
      <c r="T589" s="37"/>
      <c r="U589" s="37"/>
      <c r="V589" s="37"/>
    </row>
    <row r="590">
      <c r="A590" s="39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7"/>
      <c r="O590" s="37"/>
      <c r="P590" s="37"/>
      <c r="Q590" s="37"/>
      <c r="R590" s="37"/>
      <c r="S590" s="37"/>
      <c r="T590" s="37"/>
      <c r="U590" s="37"/>
      <c r="V590" s="37"/>
    </row>
    <row r="591">
      <c r="A591" s="39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7"/>
      <c r="O591" s="37"/>
      <c r="P591" s="37"/>
      <c r="Q591" s="37"/>
      <c r="R591" s="37"/>
      <c r="S591" s="37"/>
      <c r="T591" s="37"/>
      <c r="U591" s="37"/>
      <c r="V591" s="37"/>
    </row>
    <row r="592">
      <c r="A592" s="39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7"/>
      <c r="O592" s="37"/>
      <c r="P592" s="37"/>
      <c r="Q592" s="37"/>
      <c r="R592" s="37"/>
      <c r="S592" s="37"/>
      <c r="T592" s="37"/>
      <c r="U592" s="37"/>
      <c r="V592" s="37"/>
    </row>
    <row r="593">
      <c r="A593" s="39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7"/>
      <c r="O593" s="37"/>
      <c r="P593" s="37"/>
      <c r="Q593" s="37"/>
      <c r="R593" s="37"/>
      <c r="S593" s="37"/>
      <c r="T593" s="37"/>
      <c r="U593" s="37"/>
      <c r="V593" s="37"/>
    </row>
    <row r="594">
      <c r="A594" s="39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7"/>
      <c r="O594" s="37"/>
      <c r="P594" s="37"/>
      <c r="Q594" s="37"/>
      <c r="R594" s="37"/>
      <c r="S594" s="37"/>
      <c r="T594" s="37"/>
      <c r="U594" s="37"/>
      <c r="V594" s="37"/>
    </row>
    <row r="595">
      <c r="A595" s="39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7"/>
      <c r="O595" s="37"/>
      <c r="P595" s="37"/>
      <c r="Q595" s="37"/>
      <c r="R595" s="37"/>
      <c r="S595" s="37"/>
      <c r="T595" s="37"/>
      <c r="U595" s="37"/>
      <c r="V595" s="37"/>
    </row>
    <row r="596">
      <c r="A596" s="39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7"/>
      <c r="O596" s="37"/>
      <c r="P596" s="37"/>
      <c r="Q596" s="37"/>
      <c r="R596" s="37"/>
      <c r="S596" s="37"/>
      <c r="T596" s="37"/>
      <c r="U596" s="37"/>
      <c r="V596" s="37"/>
    </row>
    <row r="597">
      <c r="A597" s="39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7"/>
      <c r="O597" s="37"/>
      <c r="P597" s="37"/>
      <c r="Q597" s="37"/>
      <c r="R597" s="37"/>
      <c r="S597" s="37"/>
      <c r="T597" s="37"/>
      <c r="U597" s="37"/>
      <c r="V597" s="37"/>
    </row>
    <row r="598">
      <c r="A598" s="39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7"/>
      <c r="O598" s="37"/>
      <c r="P598" s="37"/>
      <c r="Q598" s="37"/>
      <c r="R598" s="37"/>
      <c r="S598" s="37"/>
      <c r="T598" s="37"/>
      <c r="U598" s="37"/>
      <c r="V598" s="37"/>
    </row>
    <row r="599">
      <c r="A599" s="39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7"/>
      <c r="O599" s="37"/>
      <c r="P599" s="37"/>
      <c r="Q599" s="37"/>
      <c r="R599" s="37"/>
      <c r="S599" s="37"/>
      <c r="T599" s="37"/>
      <c r="U599" s="37"/>
      <c r="V599" s="37"/>
    </row>
    <row r="600">
      <c r="A600" s="39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7"/>
      <c r="O600" s="37"/>
      <c r="P600" s="37"/>
      <c r="Q600" s="37"/>
      <c r="R600" s="37"/>
      <c r="S600" s="37"/>
      <c r="T600" s="37"/>
      <c r="U600" s="37"/>
      <c r="V600" s="37"/>
    </row>
    <row r="601">
      <c r="A601" s="39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7"/>
      <c r="O601" s="37"/>
      <c r="P601" s="37"/>
      <c r="Q601" s="37"/>
      <c r="R601" s="37"/>
      <c r="S601" s="37"/>
      <c r="T601" s="37"/>
      <c r="U601" s="37"/>
      <c r="V601" s="37"/>
    </row>
    <row r="602">
      <c r="A602" s="39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7"/>
      <c r="O602" s="37"/>
      <c r="P602" s="37"/>
      <c r="Q602" s="37"/>
      <c r="R602" s="37"/>
      <c r="S602" s="37"/>
      <c r="T602" s="37"/>
      <c r="U602" s="37"/>
      <c r="V602" s="37"/>
    </row>
    <row r="603">
      <c r="A603" s="39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7"/>
      <c r="O603" s="37"/>
      <c r="P603" s="37"/>
      <c r="Q603" s="37"/>
      <c r="R603" s="37"/>
      <c r="S603" s="37"/>
      <c r="T603" s="37"/>
      <c r="U603" s="37"/>
      <c r="V603" s="37"/>
    </row>
    <row r="604">
      <c r="A604" s="39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7"/>
      <c r="O604" s="37"/>
      <c r="P604" s="37"/>
      <c r="Q604" s="37"/>
      <c r="R604" s="37"/>
      <c r="S604" s="37"/>
      <c r="T604" s="37"/>
      <c r="U604" s="37"/>
      <c r="V604" s="37"/>
    </row>
    <row r="605">
      <c r="A605" s="39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7"/>
      <c r="O605" s="37"/>
      <c r="P605" s="37"/>
      <c r="Q605" s="37"/>
      <c r="R605" s="37"/>
      <c r="S605" s="37"/>
      <c r="T605" s="37"/>
      <c r="U605" s="37"/>
      <c r="V605" s="37"/>
    </row>
    <row r="606">
      <c r="A606" s="39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7"/>
      <c r="O606" s="37"/>
      <c r="P606" s="37"/>
      <c r="Q606" s="37"/>
      <c r="R606" s="37"/>
      <c r="S606" s="37"/>
      <c r="T606" s="37"/>
      <c r="U606" s="37"/>
      <c r="V606" s="37"/>
    </row>
    <row r="607">
      <c r="A607" s="39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7"/>
      <c r="O607" s="37"/>
      <c r="P607" s="37"/>
      <c r="Q607" s="37"/>
      <c r="R607" s="37"/>
      <c r="S607" s="37"/>
      <c r="T607" s="37"/>
      <c r="U607" s="37"/>
      <c r="V607" s="37"/>
    </row>
    <row r="608">
      <c r="A608" s="39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7"/>
      <c r="O608" s="37"/>
      <c r="P608" s="37"/>
      <c r="Q608" s="37"/>
      <c r="R608" s="37"/>
      <c r="S608" s="37"/>
      <c r="T608" s="37"/>
      <c r="U608" s="37"/>
      <c r="V608" s="37"/>
    </row>
    <row r="609">
      <c r="A609" s="39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7"/>
      <c r="O609" s="37"/>
      <c r="P609" s="37"/>
      <c r="Q609" s="37"/>
      <c r="R609" s="37"/>
      <c r="S609" s="37"/>
      <c r="T609" s="37"/>
      <c r="U609" s="37"/>
      <c r="V609" s="37"/>
    </row>
    <row r="610">
      <c r="A610" s="39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7"/>
      <c r="O610" s="37"/>
      <c r="P610" s="37"/>
      <c r="Q610" s="37"/>
      <c r="R610" s="37"/>
      <c r="S610" s="37"/>
      <c r="T610" s="37"/>
      <c r="U610" s="37"/>
      <c r="V610" s="37"/>
    </row>
    <row r="611">
      <c r="A611" s="39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7"/>
      <c r="O611" s="37"/>
      <c r="P611" s="37"/>
      <c r="Q611" s="37"/>
      <c r="R611" s="37"/>
      <c r="S611" s="37"/>
      <c r="T611" s="37"/>
      <c r="U611" s="37"/>
      <c r="V611" s="37"/>
    </row>
    <row r="612">
      <c r="A612" s="39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7"/>
      <c r="O612" s="37"/>
      <c r="P612" s="37"/>
      <c r="Q612" s="37"/>
      <c r="R612" s="37"/>
      <c r="S612" s="37"/>
      <c r="T612" s="37"/>
      <c r="U612" s="37"/>
      <c r="V612" s="37"/>
    </row>
    <row r="613">
      <c r="A613" s="39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7"/>
      <c r="O613" s="37"/>
      <c r="P613" s="37"/>
      <c r="Q613" s="37"/>
      <c r="R613" s="37"/>
      <c r="S613" s="37"/>
      <c r="T613" s="37"/>
      <c r="U613" s="37"/>
      <c r="V613" s="37"/>
    </row>
    <row r="614">
      <c r="A614" s="39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7"/>
      <c r="O614" s="37"/>
      <c r="P614" s="37"/>
      <c r="Q614" s="37"/>
      <c r="R614" s="37"/>
      <c r="S614" s="37"/>
      <c r="T614" s="37"/>
      <c r="U614" s="37"/>
      <c r="V614" s="37"/>
    </row>
    <row r="615">
      <c r="A615" s="39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7"/>
      <c r="O615" s="37"/>
      <c r="P615" s="37"/>
      <c r="Q615" s="37"/>
      <c r="R615" s="37"/>
      <c r="S615" s="37"/>
      <c r="T615" s="37"/>
      <c r="U615" s="37"/>
      <c r="V615" s="37"/>
    </row>
    <row r="616">
      <c r="A616" s="39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7"/>
      <c r="O616" s="37"/>
      <c r="P616" s="37"/>
      <c r="Q616" s="37"/>
      <c r="R616" s="37"/>
      <c r="S616" s="37"/>
      <c r="T616" s="37"/>
      <c r="U616" s="37"/>
      <c r="V616" s="37"/>
    </row>
    <row r="617">
      <c r="A617" s="39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7"/>
      <c r="O617" s="37"/>
      <c r="P617" s="37"/>
      <c r="Q617" s="37"/>
      <c r="R617" s="37"/>
      <c r="S617" s="37"/>
      <c r="T617" s="37"/>
      <c r="U617" s="37"/>
      <c r="V617" s="37"/>
    </row>
    <row r="618">
      <c r="A618" s="39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7"/>
      <c r="O618" s="37"/>
      <c r="P618" s="37"/>
      <c r="Q618" s="37"/>
      <c r="R618" s="37"/>
      <c r="S618" s="37"/>
      <c r="T618" s="37"/>
      <c r="U618" s="37"/>
      <c r="V618" s="37"/>
    </row>
    <row r="619">
      <c r="A619" s="39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7"/>
      <c r="O619" s="37"/>
      <c r="P619" s="37"/>
      <c r="Q619" s="37"/>
      <c r="R619" s="37"/>
      <c r="S619" s="37"/>
      <c r="T619" s="37"/>
      <c r="U619" s="37"/>
      <c r="V619" s="37"/>
    </row>
    <row r="620">
      <c r="A620" s="39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7"/>
      <c r="O620" s="37"/>
      <c r="P620" s="37"/>
      <c r="Q620" s="37"/>
      <c r="R620" s="37"/>
      <c r="S620" s="37"/>
      <c r="T620" s="37"/>
      <c r="U620" s="37"/>
      <c r="V620" s="37"/>
    </row>
    <row r="621">
      <c r="A621" s="39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7"/>
      <c r="O621" s="37"/>
      <c r="P621" s="37"/>
      <c r="Q621" s="37"/>
      <c r="R621" s="37"/>
      <c r="S621" s="37"/>
      <c r="T621" s="37"/>
      <c r="U621" s="37"/>
      <c r="V621" s="37"/>
    </row>
    <row r="622">
      <c r="A622" s="39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7"/>
      <c r="O622" s="37"/>
      <c r="P622" s="37"/>
      <c r="Q622" s="37"/>
      <c r="R622" s="37"/>
      <c r="S622" s="37"/>
      <c r="T622" s="37"/>
      <c r="U622" s="37"/>
      <c r="V622" s="37"/>
    </row>
    <row r="623">
      <c r="A623" s="39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7"/>
      <c r="O623" s="37"/>
      <c r="P623" s="37"/>
      <c r="Q623" s="37"/>
      <c r="R623" s="37"/>
      <c r="S623" s="37"/>
      <c r="T623" s="37"/>
      <c r="U623" s="37"/>
      <c r="V623" s="37"/>
    </row>
    <row r="624">
      <c r="A624" s="39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7"/>
      <c r="O624" s="37"/>
      <c r="P624" s="37"/>
      <c r="Q624" s="37"/>
      <c r="R624" s="37"/>
      <c r="S624" s="37"/>
      <c r="T624" s="37"/>
      <c r="U624" s="37"/>
      <c r="V624" s="37"/>
    </row>
    <row r="625">
      <c r="A625" s="39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7"/>
      <c r="O625" s="37"/>
      <c r="P625" s="37"/>
      <c r="Q625" s="37"/>
      <c r="R625" s="37"/>
      <c r="S625" s="37"/>
      <c r="T625" s="37"/>
      <c r="U625" s="37"/>
      <c r="V625" s="37"/>
    </row>
    <row r="626">
      <c r="A626" s="39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7"/>
      <c r="O626" s="37"/>
      <c r="P626" s="37"/>
      <c r="Q626" s="37"/>
      <c r="R626" s="37"/>
      <c r="S626" s="37"/>
      <c r="T626" s="37"/>
      <c r="U626" s="37"/>
      <c r="V626" s="37"/>
    </row>
    <row r="627">
      <c r="A627" s="39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7"/>
      <c r="O627" s="37"/>
      <c r="P627" s="37"/>
      <c r="Q627" s="37"/>
      <c r="R627" s="37"/>
      <c r="S627" s="37"/>
      <c r="T627" s="37"/>
      <c r="U627" s="37"/>
      <c r="V627" s="37"/>
    </row>
    <row r="628">
      <c r="A628" s="39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7"/>
      <c r="O628" s="37"/>
      <c r="P628" s="37"/>
      <c r="Q628" s="37"/>
      <c r="R628" s="37"/>
      <c r="S628" s="37"/>
      <c r="T628" s="37"/>
      <c r="U628" s="37"/>
      <c r="V628" s="37"/>
    </row>
    <row r="629">
      <c r="A629" s="39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7"/>
      <c r="O629" s="37"/>
      <c r="P629" s="37"/>
      <c r="Q629" s="37"/>
      <c r="R629" s="37"/>
      <c r="S629" s="37"/>
      <c r="T629" s="37"/>
      <c r="U629" s="37"/>
      <c r="V629" s="37"/>
    </row>
    <row r="630">
      <c r="A630" s="39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7"/>
      <c r="O630" s="37"/>
      <c r="P630" s="37"/>
      <c r="Q630" s="37"/>
      <c r="R630" s="37"/>
      <c r="S630" s="37"/>
      <c r="T630" s="37"/>
      <c r="U630" s="37"/>
      <c r="V630" s="37"/>
    </row>
    <row r="631">
      <c r="A631" s="39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7"/>
      <c r="O631" s="37"/>
      <c r="P631" s="37"/>
      <c r="Q631" s="37"/>
      <c r="R631" s="37"/>
      <c r="S631" s="37"/>
      <c r="T631" s="37"/>
      <c r="U631" s="37"/>
      <c r="V631" s="37"/>
    </row>
    <row r="632">
      <c r="A632" s="39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7"/>
      <c r="O632" s="37"/>
      <c r="P632" s="37"/>
      <c r="Q632" s="37"/>
      <c r="R632" s="37"/>
      <c r="S632" s="37"/>
      <c r="T632" s="37"/>
      <c r="U632" s="37"/>
      <c r="V632" s="37"/>
    </row>
    <row r="633">
      <c r="A633" s="39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7"/>
      <c r="O633" s="37"/>
      <c r="P633" s="37"/>
      <c r="Q633" s="37"/>
      <c r="R633" s="37"/>
      <c r="S633" s="37"/>
      <c r="T633" s="37"/>
      <c r="U633" s="37"/>
      <c r="V633" s="37"/>
    </row>
    <row r="634">
      <c r="A634" s="39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7"/>
      <c r="O634" s="37"/>
      <c r="P634" s="37"/>
      <c r="Q634" s="37"/>
      <c r="R634" s="37"/>
      <c r="S634" s="37"/>
      <c r="T634" s="37"/>
      <c r="U634" s="37"/>
      <c r="V634" s="37"/>
    </row>
    <row r="635">
      <c r="A635" s="39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7"/>
      <c r="O635" s="37"/>
      <c r="P635" s="37"/>
      <c r="Q635" s="37"/>
      <c r="R635" s="37"/>
      <c r="S635" s="37"/>
      <c r="T635" s="37"/>
      <c r="U635" s="37"/>
      <c r="V635" s="37"/>
    </row>
    <row r="636">
      <c r="A636" s="39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7"/>
      <c r="O636" s="37"/>
      <c r="P636" s="37"/>
      <c r="Q636" s="37"/>
      <c r="R636" s="37"/>
      <c r="S636" s="37"/>
      <c r="T636" s="37"/>
      <c r="U636" s="37"/>
      <c r="V636" s="37"/>
    </row>
    <row r="637">
      <c r="A637" s="39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7"/>
      <c r="O637" s="37"/>
      <c r="P637" s="37"/>
      <c r="Q637" s="37"/>
      <c r="R637" s="37"/>
      <c r="S637" s="37"/>
      <c r="T637" s="37"/>
      <c r="U637" s="37"/>
      <c r="V637" s="37"/>
    </row>
    <row r="638">
      <c r="A638" s="39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7"/>
      <c r="O638" s="37"/>
      <c r="P638" s="37"/>
      <c r="Q638" s="37"/>
      <c r="R638" s="37"/>
      <c r="S638" s="37"/>
      <c r="T638" s="37"/>
      <c r="U638" s="37"/>
      <c r="V638" s="37"/>
    </row>
    <row r="639">
      <c r="A639" s="39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7"/>
      <c r="O639" s="37"/>
      <c r="P639" s="37"/>
      <c r="Q639" s="37"/>
      <c r="R639" s="37"/>
      <c r="S639" s="37"/>
      <c r="T639" s="37"/>
      <c r="U639" s="37"/>
      <c r="V639" s="37"/>
    </row>
    <row r="640">
      <c r="A640" s="39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7"/>
      <c r="O640" s="37"/>
      <c r="P640" s="37"/>
      <c r="Q640" s="37"/>
      <c r="R640" s="37"/>
      <c r="S640" s="37"/>
      <c r="T640" s="37"/>
      <c r="U640" s="37"/>
      <c r="V640" s="37"/>
    </row>
    <row r="641">
      <c r="A641" s="39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7"/>
      <c r="O641" s="37"/>
      <c r="P641" s="37"/>
      <c r="Q641" s="37"/>
      <c r="R641" s="37"/>
      <c r="S641" s="37"/>
      <c r="T641" s="37"/>
      <c r="U641" s="37"/>
      <c r="V641" s="37"/>
    </row>
    <row r="642">
      <c r="A642" s="39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7"/>
      <c r="O642" s="37"/>
      <c r="P642" s="37"/>
      <c r="Q642" s="37"/>
      <c r="R642" s="37"/>
      <c r="S642" s="37"/>
      <c r="T642" s="37"/>
      <c r="U642" s="37"/>
      <c r="V642" s="37"/>
    </row>
    <row r="643">
      <c r="A643" s="39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7"/>
      <c r="O643" s="37"/>
      <c r="P643" s="37"/>
      <c r="Q643" s="37"/>
      <c r="R643" s="37"/>
      <c r="S643" s="37"/>
      <c r="T643" s="37"/>
      <c r="U643" s="37"/>
      <c r="V643" s="37"/>
    </row>
    <row r="644">
      <c r="A644" s="39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7"/>
      <c r="O644" s="37"/>
      <c r="P644" s="37"/>
      <c r="Q644" s="37"/>
      <c r="R644" s="37"/>
      <c r="S644" s="37"/>
      <c r="T644" s="37"/>
      <c r="U644" s="37"/>
      <c r="V644" s="37"/>
    </row>
    <row r="645">
      <c r="A645" s="39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7"/>
      <c r="O645" s="37"/>
      <c r="P645" s="37"/>
      <c r="Q645" s="37"/>
      <c r="R645" s="37"/>
      <c r="S645" s="37"/>
      <c r="T645" s="37"/>
      <c r="U645" s="37"/>
      <c r="V645" s="37"/>
    </row>
    <row r="646">
      <c r="A646" s="39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7"/>
      <c r="O646" s="37"/>
      <c r="P646" s="37"/>
      <c r="Q646" s="37"/>
      <c r="R646" s="37"/>
      <c r="S646" s="37"/>
      <c r="T646" s="37"/>
      <c r="U646" s="37"/>
      <c r="V646" s="37"/>
    </row>
    <row r="647">
      <c r="A647" s="39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7"/>
      <c r="O647" s="37"/>
      <c r="P647" s="37"/>
      <c r="Q647" s="37"/>
      <c r="R647" s="37"/>
      <c r="S647" s="37"/>
      <c r="T647" s="37"/>
      <c r="U647" s="37"/>
      <c r="V647" s="37"/>
    </row>
    <row r="648">
      <c r="A648" s="39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7"/>
      <c r="O648" s="37"/>
      <c r="P648" s="37"/>
      <c r="Q648" s="37"/>
      <c r="R648" s="37"/>
      <c r="S648" s="37"/>
      <c r="T648" s="37"/>
      <c r="U648" s="37"/>
      <c r="V648" s="37"/>
    </row>
    <row r="649">
      <c r="A649" s="39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7"/>
      <c r="O649" s="37"/>
      <c r="P649" s="37"/>
      <c r="Q649" s="37"/>
      <c r="R649" s="37"/>
      <c r="S649" s="37"/>
      <c r="T649" s="37"/>
      <c r="U649" s="37"/>
      <c r="V649" s="37"/>
    </row>
    <row r="650">
      <c r="A650" s="39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7"/>
      <c r="O650" s="37"/>
      <c r="P650" s="37"/>
      <c r="Q650" s="37"/>
      <c r="R650" s="37"/>
      <c r="S650" s="37"/>
      <c r="T650" s="37"/>
      <c r="U650" s="37"/>
      <c r="V650" s="37"/>
    </row>
    <row r="651">
      <c r="A651" s="39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7"/>
      <c r="O651" s="37"/>
      <c r="P651" s="37"/>
      <c r="Q651" s="37"/>
      <c r="R651" s="37"/>
      <c r="S651" s="37"/>
      <c r="T651" s="37"/>
      <c r="U651" s="37"/>
      <c r="V651" s="37"/>
    </row>
    <row r="652">
      <c r="A652" s="39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7"/>
      <c r="O652" s="37"/>
      <c r="P652" s="37"/>
      <c r="Q652" s="37"/>
      <c r="R652" s="37"/>
      <c r="S652" s="37"/>
      <c r="T652" s="37"/>
      <c r="U652" s="37"/>
      <c r="V652" s="37"/>
    </row>
    <row r="653">
      <c r="A653" s="39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7"/>
      <c r="O653" s="37"/>
      <c r="P653" s="37"/>
      <c r="Q653" s="37"/>
      <c r="R653" s="37"/>
      <c r="S653" s="37"/>
      <c r="T653" s="37"/>
      <c r="U653" s="37"/>
      <c r="V653" s="37"/>
    </row>
    <row r="654">
      <c r="A654" s="39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7"/>
      <c r="O654" s="37"/>
      <c r="P654" s="37"/>
      <c r="Q654" s="37"/>
      <c r="R654" s="37"/>
      <c r="S654" s="37"/>
      <c r="T654" s="37"/>
      <c r="U654" s="37"/>
      <c r="V654" s="37"/>
    </row>
    <row r="655">
      <c r="A655" s="39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7"/>
      <c r="O655" s="37"/>
      <c r="P655" s="37"/>
      <c r="Q655" s="37"/>
      <c r="R655" s="37"/>
      <c r="S655" s="37"/>
      <c r="T655" s="37"/>
      <c r="U655" s="37"/>
      <c r="V655" s="37"/>
    </row>
    <row r="656">
      <c r="A656" s="39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7"/>
      <c r="O656" s="37"/>
      <c r="P656" s="37"/>
      <c r="Q656" s="37"/>
      <c r="R656" s="37"/>
      <c r="S656" s="37"/>
      <c r="T656" s="37"/>
      <c r="U656" s="37"/>
      <c r="V656" s="37"/>
    </row>
    <row r="657">
      <c r="A657" s="39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7"/>
      <c r="O657" s="37"/>
      <c r="P657" s="37"/>
      <c r="Q657" s="37"/>
      <c r="R657" s="37"/>
      <c r="S657" s="37"/>
      <c r="T657" s="37"/>
      <c r="U657" s="37"/>
      <c r="V657" s="37"/>
    </row>
    <row r="658">
      <c r="A658" s="39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7"/>
      <c r="O658" s="37"/>
      <c r="P658" s="37"/>
      <c r="Q658" s="37"/>
      <c r="R658" s="37"/>
      <c r="S658" s="37"/>
      <c r="T658" s="37"/>
      <c r="U658" s="37"/>
      <c r="V658" s="37"/>
    </row>
    <row r="659">
      <c r="A659" s="39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7"/>
      <c r="O659" s="37"/>
      <c r="P659" s="37"/>
      <c r="Q659" s="37"/>
      <c r="R659" s="37"/>
      <c r="S659" s="37"/>
      <c r="T659" s="37"/>
      <c r="U659" s="37"/>
      <c r="V659" s="37"/>
    </row>
    <row r="660">
      <c r="A660" s="39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7"/>
      <c r="O660" s="37"/>
      <c r="P660" s="37"/>
      <c r="Q660" s="37"/>
      <c r="R660" s="37"/>
      <c r="S660" s="37"/>
      <c r="T660" s="37"/>
      <c r="U660" s="37"/>
      <c r="V660" s="37"/>
    </row>
    <row r="661">
      <c r="A661" s="39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7"/>
      <c r="O661" s="37"/>
      <c r="P661" s="37"/>
      <c r="Q661" s="37"/>
      <c r="R661" s="37"/>
      <c r="S661" s="37"/>
      <c r="T661" s="37"/>
      <c r="U661" s="37"/>
      <c r="V661" s="37"/>
    </row>
    <row r="662">
      <c r="A662" s="39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7"/>
      <c r="O662" s="37"/>
      <c r="P662" s="37"/>
      <c r="Q662" s="37"/>
      <c r="R662" s="37"/>
      <c r="S662" s="37"/>
      <c r="T662" s="37"/>
      <c r="U662" s="37"/>
      <c r="V662" s="37"/>
    </row>
    <row r="663">
      <c r="A663" s="39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7"/>
      <c r="O663" s="37"/>
      <c r="P663" s="37"/>
      <c r="Q663" s="37"/>
      <c r="R663" s="37"/>
      <c r="S663" s="37"/>
      <c r="T663" s="37"/>
      <c r="U663" s="37"/>
      <c r="V663" s="37"/>
    </row>
    <row r="664">
      <c r="A664" s="39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7"/>
      <c r="O664" s="37"/>
      <c r="P664" s="37"/>
      <c r="Q664" s="37"/>
      <c r="R664" s="37"/>
      <c r="S664" s="37"/>
      <c r="T664" s="37"/>
      <c r="U664" s="37"/>
      <c r="V664" s="37"/>
    </row>
    <row r="665">
      <c r="A665" s="39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7"/>
      <c r="O665" s="37"/>
      <c r="P665" s="37"/>
      <c r="Q665" s="37"/>
      <c r="R665" s="37"/>
      <c r="S665" s="37"/>
      <c r="T665" s="37"/>
      <c r="U665" s="37"/>
      <c r="V665" s="37"/>
    </row>
    <row r="666">
      <c r="A666" s="39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7"/>
      <c r="O666" s="37"/>
      <c r="P666" s="37"/>
      <c r="Q666" s="37"/>
      <c r="R666" s="37"/>
      <c r="S666" s="37"/>
      <c r="T666" s="37"/>
      <c r="U666" s="37"/>
      <c r="V666" s="37"/>
    </row>
    <row r="667">
      <c r="A667" s="39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7"/>
      <c r="O667" s="37"/>
      <c r="P667" s="37"/>
      <c r="Q667" s="37"/>
      <c r="R667" s="37"/>
      <c r="S667" s="37"/>
      <c r="T667" s="37"/>
      <c r="U667" s="37"/>
      <c r="V667" s="37"/>
    </row>
    <row r="668">
      <c r="A668" s="39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7"/>
      <c r="O668" s="37"/>
      <c r="P668" s="37"/>
      <c r="Q668" s="37"/>
      <c r="R668" s="37"/>
      <c r="S668" s="37"/>
      <c r="T668" s="37"/>
      <c r="U668" s="37"/>
      <c r="V668" s="37"/>
    </row>
    <row r="669">
      <c r="A669" s="39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7"/>
      <c r="O669" s="37"/>
      <c r="P669" s="37"/>
      <c r="Q669" s="37"/>
      <c r="R669" s="37"/>
      <c r="S669" s="37"/>
      <c r="T669" s="37"/>
      <c r="U669" s="37"/>
      <c r="V669" s="37"/>
    </row>
    <row r="670">
      <c r="A670" s="39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7"/>
      <c r="O670" s="37"/>
      <c r="P670" s="37"/>
      <c r="Q670" s="37"/>
      <c r="R670" s="37"/>
      <c r="S670" s="37"/>
      <c r="T670" s="37"/>
      <c r="U670" s="37"/>
      <c r="V670" s="37"/>
    </row>
    <row r="671">
      <c r="A671" s="39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7"/>
      <c r="O671" s="37"/>
      <c r="P671" s="37"/>
      <c r="Q671" s="37"/>
      <c r="R671" s="37"/>
      <c r="S671" s="37"/>
      <c r="T671" s="37"/>
      <c r="U671" s="37"/>
      <c r="V671" s="37"/>
    </row>
    <row r="672">
      <c r="A672" s="39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7"/>
      <c r="O672" s="37"/>
      <c r="P672" s="37"/>
      <c r="Q672" s="37"/>
      <c r="R672" s="37"/>
      <c r="S672" s="37"/>
      <c r="T672" s="37"/>
      <c r="U672" s="37"/>
      <c r="V672" s="37"/>
    </row>
    <row r="673">
      <c r="A673" s="39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7"/>
      <c r="O673" s="37"/>
      <c r="P673" s="37"/>
      <c r="Q673" s="37"/>
      <c r="R673" s="37"/>
      <c r="S673" s="37"/>
      <c r="T673" s="37"/>
      <c r="U673" s="37"/>
      <c r="V673" s="37"/>
    </row>
    <row r="674">
      <c r="A674" s="39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7"/>
      <c r="O674" s="37"/>
      <c r="P674" s="37"/>
      <c r="Q674" s="37"/>
      <c r="R674" s="37"/>
      <c r="S674" s="37"/>
      <c r="T674" s="37"/>
      <c r="U674" s="37"/>
      <c r="V674" s="37"/>
    </row>
    <row r="675">
      <c r="A675" s="39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7"/>
      <c r="O675" s="37"/>
      <c r="P675" s="37"/>
      <c r="Q675" s="37"/>
      <c r="R675" s="37"/>
      <c r="S675" s="37"/>
      <c r="T675" s="37"/>
      <c r="U675" s="37"/>
      <c r="V675" s="37"/>
    </row>
    <row r="676">
      <c r="A676" s="39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7"/>
      <c r="O676" s="37"/>
      <c r="P676" s="37"/>
      <c r="Q676" s="37"/>
      <c r="R676" s="37"/>
      <c r="S676" s="37"/>
      <c r="T676" s="37"/>
      <c r="U676" s="37"/>
      <c r="V676" s="37"/>
    </row>
    <row r="677">
      <c r="A677" s="39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7"/>
      <c r="O677" s="37"/>
      <c r="P677" s="37"/>
      <c r="Q677" s="37"/>
      <c r="R677" s="37"/>
      <c r="S677" s="37"/>
      <c r="T677" s="37"/>
      <c r="U677" s="37"/>
      <c r="V677" s="37"/>
    </row>
    <row r="678">
      <c r="A678" s="39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7"/>
      <c r="O678" s="37"/>
      <c r="P678" s="37"/>
      <c r="Q678" s="37"/>
      <c r="R678" s="37"/>
      <c r="S678" s="37"/>
      <c r="T678" s="37"/>
      <c r="U678" s="37"/>
      <c r="V678" s="37"/>
    </row>
    <row r="679">
      <c r="A679" s="39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7"/>
      <c r="O679" s="37"/>
      <c r="P679" s="37"/>
      <c r="Q679" s="37"/>
      <c r="R679" s="37"/>
      <c r="S679" s="37"/>
      <c r="T679" s="37"/>
      <c r="U679" s="37"/>
      <c r="V679" s="37"/>
    </row>
    <row r="680">
      <c r="A680" s="39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7"/>
      <c r="O680" s="37"/>
      <c r="P680" s="37"/>
      <c r="Q680" s="37"/>
      <c r="R680" s="37"/>
      <c r="S680" s="37"/>
      <c r="T680" s="37"/>
      <c r="U680" s="37"/>
      <c r="V680" s="37"/>
    </row>
    <row r="681">
      <c r="A681" s="39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7"/>
      <c r="O681" s="37"/>
      <c r="P681" s="37"/>
      <c r="Q681" s="37"/>
      <c r="R681" s="37"/>
      <c r="S681" s="37"/>
      <c r="T681" s="37"/>
      <c r="U681" s="37"/>
      <c r="V681" s="37"/>
    </row>
    <row r="682">
      <c r="A682" s="39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7"/>
      <c r="O682" s="37"/>
      <c r="P682" s="37"/>
      <c r="Q682" s="37"/>
      <c r="R682" s="37"/>
      <c r="S682" s="37"/>
      <c r="T682" s="37"/>
      <c r="U682" s="37"/>
      <c r="V682" s="37"/>
    </row>
    <row r="683">
      <c r="A683" s="39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7"/>
      <c r="O683" s="37"/>
      <c r="P683" s="37"/>
      <c r="Q683" s="37"/>
      <c r="R683" s="37"/>
      <c r="S683" s="37"/>
      <c r="T683" s="37"/>
      <c r="U683" s="37"/>
      <c r="V683" s="37"/>
    </row>
    <row r="684">
      <c r="A684" s="39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7"/>
      <c r="O684" s="37"/>
      <c r="P684" s="37"/>
      <c r="Q684" s="37"/>
      <c r="R684" s="37"/>
      <c r="S684" s="37"/>
      <c r="T684" s="37"/>
      <c r="U684" s="37"/>
      <c r="V684" s="37"/>
    </row>
    <row r="685">
      <c r="A685" s="39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7"/>
      <c r="O685" s="37"/>
      <c r="P685" s="37"/>
      <c r="Q685" s="37"/>
      <c r="R685" s="37"/>
      <c r="S685" s="37"/>
      <c r="T685" s="37"/>
      <c r="U685" s="37"/>
      <c r="V685" s="37"/>
    </row>
    <row r="686">
      <c r="A686" s="39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7"/>
      <c r="O686" s="37"/>
      <c r="P686" s="37"/>
      <c r="Q686" s="37"/>
      <c r="R686" s="37"/>
      <c r="S686" s="37"/>
      <c r="T686" s="37"/>
      <c r="U686" s="37"/>
      <c r="V686" s="37"/>
    </row>
    <row r="687">
      <c r="A687" s="39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7"/>
      <c r="O687" s="37"/>
      <c r="P687" s="37"/>
      <c r="Q687" s="37"/>
      <c r="R687" s="37"/>
      <c r="S687" s="37"/>
      <c r="T687" s="37"/>
      <c r="U687" s="37"/>
      <c r="V687" s="37"/>
    </row>
    <row r="688">
      <c r="A688" s="39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7"/>
      <c r="O688" s="37"/>
      <c r="P688" s="37"/>
      <c r="Q688" s="37"/>
      <c r="R688" s="37"/>
      <c r="S688" s="37"/>
      <c r="T688" s="37"/>
      <c r="U688" s="37"/>
      <c r="V688" s="37"/>
    </row>
    <row r="689">
      <c r="A689" s="39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7"/>
      <c r="O689" s="37"/>
      <c r="P689" s="37"/>
      <c r="Q689" s="37"/>
      <c r="R689" s="37"/>
      <c r="S689" s="37"/>
      <c r="T689" s="37"/>
      <c r="U689" s="37"/>
      <c r="V689" s="37"/>
    </row>
    <row r="690">
      <c r="A690" s="39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7"/>
      <c r="O690" s="37"/>
      <c r="P690" s="37"/>
      <c r="Q690" s="37"/>
      <c r="R690" s="37"/>
      <c r="S690" s="37"/>
      <c r="T690" s="37"/>
      <c r="U690" s="37"/>
      <c r="V690" s="37"/>
    </row>
    <row r="691">
      <c r="A691" s="39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7"/>
      <c r="O691" s="37"/>
      <c r="P691" s="37"/>
      <c r="Q691" s="37"/>
      <c r="R691" s="37"/>
      <c r="S691" s="37"/>
      <c r="T691" s="37"/>
      <c r="U691" s="37"/>
      <c r="V691" s="37"/>
    </row>
    <row r="692">
      <c r="A692" s="39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7"/>
      <c r="O692" s="37"/>
      <c r="P692" s="37"/>
      <c r="Q692" s="37"/>
      <c r="R692" s="37"/>
      <c r="S692" s="37"/>
      <c r="T692" s="37"/>
      <c r="U692" s="37"/>
      <c r="V692" s="37"/>
    </row>
    <row r="693">
      <c r="A693" s="39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7"/>
      <c r="O693" s="37"/>
      <c r="P693" s="37"/>
      <c r="Q693" s="37"/>
      <c r="R693" s="37"/>
      <c r="S693" s="37"/>
      <c r="T693" s="37"/>
      <c r="U693" s="37"/>
      <c r="V693" s="37"/>
    </row>
    <row r="694">
      <c r="A694" s="39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7"/>
      <c r="O694" s="37"/>
      <c r="P694" s="37"/>
      <c r="Q694" s="37"/>
      <c r="R694" s="37"/>
      <c r="S694" s="37"/>
      <c r="T694" s="37"/>
      <c r="U694" s="37"/>
      <c r="V694" s="37"/>
    </row>
    <row r="695">
      <c r="A695" s="39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7"/>
      <c r="O695" s="37"/>
      <c r="P695" s="37"/>
      <c r="Q695" s="37"/>
      <c r="R695" s="37"/>
      <c r="S695" s="37"/>
      <c r="T695" s="37"/>
      <c r="U695" s="37"/>
      <c r="V695" s="37"/>
    </row>
    <row r="696">
      <c r="A696" s="39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7"/>
      <c r="O696" s="37"/>
      <c r="P696" s="37"/>
      <c r="Q696" s="37"/>
      <c r="R696" s="37"/>
      <c r="S696" s="37"/>
      <c r="T696" s="37"/>
      <c r="U696" s="37"/>
      <c r="V696" s="37"/>
    </row>
    <row r="697">
      <c r="A697" s="39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7"/>
      <c r="O697" s="37"/>
      <c r="P697" s="37"/>
      <c r="Q697" s="37"/>
      <c r="R697" s="37"/>
      <c r="S697" s="37"/>
      <c r="T697" s="37"/>
      <c r="U697" s="37"/>
      <c r="V697" s="37"/>
    </row>
    <row r="698">
      <c r="A698" s="39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7"/>
      <c r="O698" s="37"/>
      <c r="P698" s="37"/>
      <c r="Q698" s="37"/>
      <c r="R698" s="37"/>
      <c r="S698" s="37"/>
      <c r="T698" s="37"/>
      <c r="U698" s="37"/>
      <c r="V698" s="37"/>
    </row>
    <row r="699">
      <c r="A699" s="39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7"/>
      <c r="O699" s="37"/>
      <c r="P699" s="37"/>
      <c r="Q699" s="37"/>
      <c r="R699" s="37"/>
      <c r="S699" s="37"/>
      <c r="T699" s="37"/>
      <c r="U699" s="37"/>
      <c r="V699" s="37"/>
    </row>
    <row r="700">
      <c r="A700" s="39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7"/>
      <c r="O700" s="37"/>
      <c r="P700" s="37"/>
      <c r="Q700" s="37"/>
      <c r="R700" s="37"/>
      <c r="S700" s="37"/>
      <c r="T700" s="37"/>
      <c r="U700" s="37"/>
      <c r="V700" s="37"/>
    </row>
    <row r="701">
      <c r="A701" s="39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7"/>
      <c r="O701" s="37"/>
      <c r="P701" s="37"/>
      <c r="Q701" s="37"/>
      <c r="R701" s="37"/>
      <c r="S701" s="37"/>
      <c r="T701" s="37"/>
      <c r="U701" s="37"/>
      <c r="V701" s="37"/>
    </row>
    <row r="702">
      <c r="A702" s="39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7"/>
      <c r="O702" s="37"/>
      <c r="P702" s="37"/>
      <c r="Q702" s="37"/>
      <c r="R702" s="37"/>
      <c r="S702" s="37"/>
      <c r="T702" s="37"/>
      <c r="U702" s="37"/>
      <c r="V702" s="37"/>
    </row>
    <row r="703">
      <c r="A703" s="39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7"/>
      <c r="O703" s="37"/>
      <c r="P703" s="37"/>
      <c r="Q703" s="37"/>
      <c r="R703" s="37"/>
      <c r="S703" s="37"/>
      <c r="T703" s="37"/>
      <c r="U703" s="37"/>
      <c r="V703" s="37"/>
    </row>
    <row r="704">
      <c r="A704" s="39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7"/>
      <c r="O704" s="37"/>
      <c r="P704" s="37"/>
      <c r="Q704" s="37"/>
      <c r="R704" s="37"/>
      <c r="S704" s="37"/>
      <c r="T704" s="37"/>
      <c r="U704" s="37"/>
      <c r="V704" s="37"/>
    </row>
    <row r="705">
      <c r="A705" s="39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7"/>
      <c r="O705" s="37"/>
      <c r="P705" s="37"/>
      <c r="Q705" s="37"/>
      <c r="R705" s="37"/>
      <c r="S705" s="37"/>
      <c r="T705" s="37"/>
      <c r="U705" s="37"/>
      <c r="V705" s="37"/>
    </row>
    <row r="706">
      <c r="A706" s="39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7"/>
      <c r="O706" s="37"/>
      <c r="P706" s="37"/>
      <c r="Q706" s="37"/>
      <c r="R706" s="37"/>
      <c r="S706" s="37"/>
      <c r="T706" s="37"/>
      <c r="U706" s="37"/>
      <c r="V706" s="37"/>
    </row>
    <row r="707">
      <c r="A707" s="39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7"/>
      <c r="O707" s="37"/>
      <c r="P707" s="37"/>
      <c r="Q707" s="37"/>
      <c r="R707" s="37"/>
      <c r="S707" s="37"/>
      <c r="T707" s="37"/>
      <c r="U707" s="37"/>
      <c r="V707" s="37"/>
    </row>
    <row r="708">
      <c r="A708" s="39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7"/>
      <c r="O708" s="37"/>
      <c r="P708" s="37"/>
      <c r="Q708" s="37"/>
      <c r="R708" s="37"/>
      <c r="S708" s="37"/>
      <c r="T708" s="37"/>
      <c r="U708" s="37"/>
      <c r="V708" s="37"/>
    </row>
    <row r="709">
      <c r="A709" s="39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7"/>
      <c r="O709" s="37"/>
      <c r="P709" s="37"/>
      <c r="Q709" s="37"/>
      <c r="R709" s="37"/>
      <c r="S709" s="37"/>
      <c r="T709" s="37"/>
      <c r="U709" s="37"/>
      <c r="V709" s="37"/>
    </row>
    <row r="710">
      <c r="A710" s="39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7"/>
      <c r="O710" s="37"/>
      <c r="P710" s="37"/>
      <c r="Q710" s="37"/>
      <c r="R710" s="37"/>
      <c r="S710" s="37"/>
      <c r="T710" s="37"/>
      <c r="U710" s="37"/>
      <c r="V710" s="37"/>
    </row>
    <row r="711">
      <c r="A711" s="39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7"/>
      <c r="O711" s="37"/>
      <c r="P711" s="37"/>
      <c r="Q711" s="37"/>
      <c r="R711" s="37"/>
      <c r="S711" s="37"/>
      <c r="T711" s="37"/>
      <c r="U711" s="37"/>
      <c r="V711" s="37"/>
    </row>
    <row r="712">
      <c r="A712" s="39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7"/>
      <c r="O712" s="37"/>
      <c r="P712" s="37"/>
      <c r="Q712" s="37"/>
      <c r="R712" s="37"/>
      <c r="S712" s="37"/>
      <c r="T712" s="37"/>
      <c r="U712" s="37"/>
      <c r="V712" s="37"/>
    </row>
    <row r="713">
      <c r="A713" s="39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7"/>
      <c r="O713" s="37"/>
      <c r="P713" s="37"/>
      <c r="Q713" s="37"/>
      <c r="R713" s="37"/>
      <c r="S713" s="37"/>
      <c r="T713" s="37"/>
      <c r="U713" s="37"/>
      <c r="V713" s="37"/>
    </row>
    <row r="714">
      <c r="A714" s="39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7"/>
      <c r="O714" s="37"/>
      <c r="P714" s="37"/>
      <c r="Q714" s="37"/>
      <c r="R714" s="37"/>
      <c r="S714" s="37"/>
      <c r="T714" s="37"/>
      <c r="U714" s="37"/>
      <c r="V714" s="37"/>
    </row>
    <row r="715">
      <c r="A715" s="39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7"/>
      <c r="O715" s="37"/>
      <c r="P715" s="37"/>
      <c r="Q715" s="37"/>
      <c r="R715" s="37"/>
      <c r="S715" s="37"/>
      <c r="T715" s="37"/>
      <c r="U715" s="37"/>
      <c r="V715" s="37"/>
    </row>
    <row r="716">
      <c r="A716" s="39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7"/>
      <c r="O716" s="37"/>
      <c r="P716" s="37"/>
      <c r="Q716" s="37"/>
      <c r="R716" s="37"/>
      <c r="S716" s="37"/>
      <c r="T716" s="37"/>
      <c r="U716" s="37"/>
      <c r="V716" s="37"/>
    </row>
    <row r="717">
      <c r="A717" s="39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7"/>
      <c r="O717" s="37"/>
      <c r="P717" s="37"/>
      <c r="Q717" s="37"/>
      <c r="R717" s="37"/>
      <c r="S717" s="37"/>
      <c r="T717" s="37"/>
      <c r="U717" s="37"/>
      <c r="V717" s="37"/>
    </row>
    <row r="718">
      <c r="A718" s="39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7"/>
      <c r="O718" s="37"/>
      <c r="P718" s="37"/>
      <c r="Q718" s="37"/>
      <c r="R718" s="37"/>
      <c r="S718" s="37"/>
      <c r="T718" s="37"/>
      <c r="U718" s="37"/>
      <c r="V718" s="37"/>
    </row>
    <row r="719">
      <c r="A719" s="39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7"/>
      <c r="O719" s="37"/>
      <c r="P719" s="37"/>
      <c r="Q719" s="37"/>
      <c r="R719" s="37"/>
      <c r="S719" s="37"/>
      <c r="T719" s="37"/>
      <c r="U719" s="37"/>
      <c r="V719" s="37"/>
    </row>
    <row r="720">
      <c r="A720" s="39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7"/>
      <c r="O720" s="37"/>
      <c r="P720" s="37"/>
      <c r="Q720" s="37"/>
      <c r="R720" s="37"/>
      <c r="S720" s="37"/>
      <c r="T720" s="37"/>
      <c r="U720" s="37"/>
      <c r="V720" s="37"/>
    </row>
    <row r="721">
      <c r="A721" s="39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7"/>
      <c r="O721" s="37"/>
      <c r="P721" s="37"/>
      <c r="Q721" s="37"/>
      <c r="R721" s="37"/>
      <c r="S721" s="37"/>
      <c r="T721" s="37"/>
      <c r="U721" s="37"/>
      <c r="V721" s="37"/>
    </row>
    <row r="722">
      <c r="A722" s="39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7"/>
      <c r="O722" s="37"/>
      <c r="P722" s="37"/>
      <c r="Q722" s="37"/>
      <c r="R722" s="37"/>
      <c r="S722" s="37"/>
      <c r="T722" s="37"/>
      <c r="U722" s="37"/>
      <c r="V722" s="37"/>
    </row>
    <row r="723">
      <c r="A723" s="39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7"/>
      <c r="O723" s="37"/>
      <c r="P723" s="37"/>
      <c r="Q723" s="37"/>
      <c r="R723" s="37"/>
      <c r="S723" s="37"/>
      <c r="T723" s="37"/>
      <c r="U723" s="37"/>
      <c r="V723" s="37"/>
    </row>
    <row r="724">
      <c r="A724" s="39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7"/>
      <c r="O724" s="37"/>
      <c r="P724" s="37"/>
      <c r="Q724" s="37"/>
      <c r="R724" s="37"/>
      <c r="S724" s="37"/>
      <c r="T724" s="37"/>
      <c r="U724" s="37"/>
      <c r="V724" s="37"/>
    </row>
    <row r="725">
      <c r="A725" s="39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7"/>
      <c r="O725" s="37"/>
      <c r="P725" s="37"/>
      <c r="Q725" s="37"/>
      <c r="R725" s="37"/>
      <c r="S725" s="37"/>
      <c r="T725" s="37"/>
      <c r="U725" s="37"/>
      <c r="V725" s="37"/>
    </row>
    <row r="726">
      <c r="A726" s="39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7"/>
      <c r="O726" s="37"/>
      <c r="P726" s="37"/>
      <c r="Q726" s="37"/>
      <c r="R726" s="37"/>
      <c r="S726" s="37"/>
      <c r="T726" s="37"/>
      <c r="U726" s="37"/>
      <c r="V726" s="37"/>
    </row>
    <row r="727">
      <c r="A727" s="39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7"/>
      <c r="O727" s="37"/>
      <c r="P727" s="37"/>
      <c r="Q727" s="37"/>
      <c r="R727" s="37"/>
      <c r="S727" s="37"/>
      <c r="T727" s="37"/>
      <c r="U727" s="37"/>
      <c r="V727" s="37"/>
    </row>
    <row r="728">
      <c r="A728" s="39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7"/>
      <c r="O728" s="37"/>
      <c r="P728" s="37"/>
      <c r="Q728" s="37"/>
      <c r="R728" s="37"/>
      <c r="S728" s="37"/>
      <c r="T728" s="37"/>
      <c r="U728" s="37"/>
      <c r="V728" s="37"/>
    </row>
    <row r="729">
      <c r="A729" s="39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7"/>
      <c r="O729" s="37"/>
      <c r="P729" s="37"/>
      <c r="Q729" s="37"/>
      <c r="R729" s="37"/>
      <c r="S729" s="37"/>
      <c r="T729" s="37"/>
      <c r="U729" s="37"/>
      <c r="V729" s="37"/>
    </row>
    <row r="730">
      <c r="A730" s="39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7"/>
      <c r="O730" s="37"/>
      <c r="P730" s="37"/>
      <c r="Q730" s="37"/>
      <c r="R730" s="37"/>
      <c r="S730" s="37"/>
      <c r="T730" s="37"/>
      <c r="U730" s="37"/>
      <c r="V730" s="37"/>
    </row>
    <row r="731">
      <c r="A731" s="39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7"/>
      <c r="O731" s="37"/>
      <c r="P731" s="37"/>
      <c r="Q731" s="37"/>
      <c r="R731" s="37"/>
      <c r="S731" s="37"/>
      <c r="T731" s="37"/>
      <c r="U731" s="37"/>
      <c r="V731" s="37"/>
    </row>
    <row r="732">
      <c r="A732" s="39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7"/>
      <c r="O732" s="37"/>
      <c r="P732" s="37"/>
      <c r="Q732" s="37"/>
      <c r="R732" s="37"/>
      <c r="S732" s="37"/>
      <c r="T732" s="37"/>
      <c r="U732" s="37"/>
      <c r="V732" s="37"/>
    </row>
    <row r="733">
      <c r="A733" s="39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7"/>
      <c r="O733" s="37"/>
      <c r="P733" s="37"/>
      <c r="Q733" s="37"/>
      <c r="R733" s="37"/>
      <c r="S733" s="37"/>
      <c r="T733" s="37"/>
      <c r="U733" s="37"/>
      <c r="V733" s="37"/>
    </row>
    <row r="734">
      <c r="A734" s="39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7"/>
      <c r="O734" s="37"/>
      <c r="P734" s="37"/>
      <c r="Q734" s="37"/>
      <c r="R734" s="37"/>
      <c r="S734" s="37"/>
      <c r="T734" s="37"/>
      <c r="U734" s="37"/>
      <c r="V734" s="37"/>
    </row>
    <row r="735">
      <c r="A735" s="39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7"/>
      <c r="O735" s="37"/>
      <c r="P735" s="37"/>
      <c r="Q735" s="37"/>
      <c r="R735" s="37"/>
      <c r="S735" s="37"/>
      <c r="T735" s="37"/>
      <c r="U735" s="37"/>
      <c r="V735" s="37"/>
    </row>
    <row r="736">
      <c r="A736" s="39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7"/>
      <c r="O736" s="37"/>
      <c r="P736" s="37"/>
      <c r="Q736" s="37"/>
      <c r="R736" s="37"/>
      <c r="S736" s="37"/>
      <c r="T736" s="37"/>
      <c r="U736" s="37"/>
      <c r="V736" s="37"/>
    </row>
    <row r="737">
      <c r="A737" s="39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7"/>
      <c r="O737" s="37"/>
      <c r="P737" s="37"/>
      <c r="Q737" s="37"/>
      <c r="R737" s="37"/>
      <c r="S737" s="37"/>
      <c r="T737" s="37"/>
      <c r="U737" s="37"/>
      <c r="V737" s="37"/>
    </row>
    <row r="738">
      <c r="A738" s="39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7"/>
      <c r="O738" s="37"/>
      <c r="P738" s="37"/>
      <c r="Q738" s="37"/>
      <c r="R738" s="37"/>
      <c r="S738" s="37"/>
      <c r="T738" s="37"/>
      <c r="U738" s="37"/>
      <c r="V738" s="37"/>
    </row>
    <row r="739">
      <c r="A739" s="39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7"/>
      <c r="O739" s="37"/>
      <c r="P739" s="37"/>
      <c r="Q739" s="37"/>
      <c r="R739" s="37"/>
      <c r="S739" s="37"/>
      <c r="T739" s="37"/>
      <c r="U739" s="37"/>
      <c r="V739" s="37"/>
    </row>
    <row r="740">
      <c r="A740" s="39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7"/>
      <c r="O740" s="37"/>
      <c r="P740" s="37"/>
      <c r="Q740" s="37"/>
      <c r="R740" s="37"/>
      <c r="S740" s="37"/>
      <c r="T740" s="37"/>
      <c r="U740" s="37"/>
      <c r="V740" s="37"/>
    </row>
    <row r="741">
      <c r="A741" s="39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7"/>
      <c r="O741" s="37"/>
      <c r="P741" s="37"/>
      <c r="Q741" s="37"/>
      <c r="R741" s="37"/>
      <c r="S741" s="37"/>
      <c r="T741" s="37"/>
      <c r="U741" s="37"/>
      <c r="V741" s="37"/>
    </row>
    <row r="742">
      <c r="A742" s="39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7"/>
      <c r="O742" s="37"/>
      <c r="P742" s="37"/>
      <c r="Q742" s="37"/>
      <c r="R742" s="37"/>
      <c r="S742" s="37"/>
      <c r="T742" s="37"/>
      <c r="U742" s="37"/>
      <c r="V742" s="37"/>
    </row>
    <row r="743">
      <c r="A743" s="39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7"/>
      <c r="O743" s="37"/>
      <c r="P743" s="37"/>
      <c r="Q743" s="37"/>
      <c r="R743" s="37"/>
      <c r="S743" s="37"/>
      <c r="T743" s="37"/>
      <c r="U743" s="37"/>
      <c r="V743" s="37"/>
    </row>
    <row r="744">
      <c r="A744" s="39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7"/>
      <c r="O744" s="37"/>
      <c r="P744" s="37"/>
      <c r="Q744" s="37"/>
      <c r="R744" s="37"/>
      <c r="S744" s="37"/>
      <c r="T744" s="37"/>
      <c r="U744" s="37"/>
      <c r="V744" s="37"/>
    </row>
    <row r="745">
      <c r="A745" s="39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7"/>
      <c r="O745" s="37"/>
      <c r="P745" s="37"/>
      <c r="Q745" s="37"/>
      <c r="R745" s="37"/>
      <c r="S745" s="37"/>
      <c r="T745" s="37"/>
      <c r="U745" s="37"/>
      <c r="V745" s="37"/>
    </row>
    <row r="746">
      <c r="A746" s="39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7"/>
      <c r="O746" s="37"/>
      <c r="P746" s="37"/>
      <c r="Q746" s="37"/>
      <c r="R746" s="37"/>
      <c r="S746" s="37"/>
      <c r="T746" s="37"/>
      <c r="U746" s="37"/>
      <c r="V746" s="37"/>
    </row>
    <row r="747">
      <c r="A747" s="39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7"/>
      <c r="O747" s="37"/>
      <c r="P747" s="37"/>
      <c r="Q747" s="37"/>
      <c r="R747" s="37"/>
      <c r="S747" s="37"/>
      <c r="T747" s="37"/>
      <c r="U747" s="37"/>
      <c r="V747" s="37"/>
    </row>
    <row r="748">
      <c r="A748" s="39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7"/>
      <c r="O748" s="37"/>
      <c r="P748" s="37"/>
      <c r="Q748" s="37"/>
      <c r="R748" s="37"/>
      <c r="S748" s="37"/>
      <c r="T748" s="37"/>
      <c r="U748" s="37"/>
      <c r="V748" s="37"/>
    </row>
    <row r="749">
      <c r="A749" s="39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7"/>
      <c r="O749" s="37"/>
      <c r="P749" s="37"/>
      <c r="Q749" s="37"/>
      <c r="R749" s="37"/>
      <c r="S749" s="37"/>
      <c r="T749" s="37"/>
      <c r="U749" s="37"/>
      <c r="V749" s="37"/>
    </row>
    <row r="750">
      <c r="A750" s="39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7"/>
      <c r="O750" s="37"/>
      <c r="P750" s="37"/>
      <c r="Q750" s="37"/>
      <c r="R750" s="37"/>
      <c r="S750" s="37"/>
      <c r="T750" s="37"/>
      <c r="U750" s="37"/>
      <c r="V750" s="37"/>
    </row>
    <row r="751">
      <c r="A751" s="39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7"/>
      <c r="O751" s="37"/>
      <c r="P751" s="37"/>
      <c r="Q751" s="37"/>
      <c r="R751" s="37"/>
      <c r="S751" s="37"/>
      <c r="T751" s="37"/>
      <c r="U751" s="37"/>
      <c r="V751" s="37"/>
    </row>
    <row r="752">
      <c r="A752" s="39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7"/>
      <c r="O752" s="37"/>
      <c r="P752" s="37"/>
      <c r="Q752" s="37"/>
      <c r="R752" s="37"/>
      <c r="S752" s="37"/>
      <c r="T752" s="37"/>
      <c r="U752" s="37"/>
      <c r="V752" s="37"/>
    </row>
    <row r="753">
      <c r="A753" s="39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7"/>
      <c r="O753" s="37"/>
      <c r="P753" s="37"/>
      <c r="Q753" s="37"/>
      <c r="R753" s="37"/>
      <c r="S753" s="37"/>
      <c r="T753" s="37"/>
      <c r="U753" s="37"/>
      <c r="V753" s="37"/>
    </row>
    <row r="754">
      <c r="A754" s="39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7"/>
      <c r="O754" s="37"/>
      <c r="P754" s="37"/>
      <c r="Q754" s="37"/>
      <c r="R754" s="37"/>
      <c r="S754" s="37"/>
      <c r="T754" s="37"/>
      <c r="U754" s="37"/>
      <c r="V754" s="37"/>
    </row>
    <row r="755">
      <c r="A755" s="39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7"/>
      <c r="O755" s="37"/>
      <c r="P755" s="37"/>
      <c r="Q755" s="37"/>
      <c r="R755" s="37"/>
      <c r="S755" s="37"/>
      <c r="T755" s="37"/>
      <c r="U755" s="37"/>
      <c r="V755" s="37"/>
    </row>
    <row r="756">
      <c r="A756" s="39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7"/>
      <c r="O756" s="37"/>
      <c r="P756" s="37"/>
      <c r="Q756" s="37"/>
      <c r="R756" s="37"/>
      <c r="S756" s="37"/>
      <c r="T756" s="37"/>
      <c r="U756" s="37"/>
      <c r="V756" s="37"/>
    </row>
    <row r="757">
      <c r="A757" s="39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7"/>
      <c r="O757" s="37"/>
      <c r="P757" s="37"/>
      <c r="Q757" s="37"/>
      <c r="R757" s="37"/>
      <c r="S757" s="37"/>
      <c r="T757" s="37"/>
      <c r="U757" s="37"/>
      <c r="V757" s="37"/>
    </row>
    <row r="758">
      <c r="A758" s="39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7"/>
      <c r="O758" s="37"/>
      <c r="P758" s="37"/>
      <c r="Q758" s="37"/>
      <c r="R758" s="37"/>
      <c r="S758" s="37"/>
      <c r="T758" s="37"/>
      <c r="U758" s="37"/>
      <c r="V758" s="37"/>
    </row>
    <row r="759">
      <c r="A759" s="39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7"/>
      <c r="O759" s="37"/>
      <c r="P759" s="37"/>
      <c r="Q759" s="37"/>
      <c r="R759" s="37"/>
      <c r="S759" s="37"/>
      <c r="T759" s="37"/>
      <c r="U759" s="37"/>
      <c r="V759" s="37"/>
    </row>
    <row r="760">
      <c r="A760" s="39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7"/>
      <c r="O760" s="37"/>
      <c r="P760" s="37"/>
      <c r="Q760" s="37"/>
      <c r="R760" s="37"/>
      <c r="S760" s="37"/>
      <c r="T760" s="37"/>
      <c r="U760" s="37"/>
      <c r="V760" s="37"/>
    </row>
    <row r="761">
      <c r="A761" s="39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7"/>
      <c r="O761" s="37"/>
      <c r="P761" s="37"/>
      <c r="Q761" s="37"/>
      <c r="R761" s="37"/>
      <c r="S761" s="37"/>
      <c r="T761" s="37"/>
      <c r="U761" s="37"/>
      <c r="V761" s="37"/>
    </row>
    <row r="762">
      <c r="A762" s="39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7"/>
      <c r="O762" s="37"/>
      <c r="P762" s="37"/>
      <c r="Q762" s="37"/>
      <c r="R762" s="37"/>
      <c r="S762" s="37"/>
      <c r="T762" s="37"/>
      <c r="U762" s="37"/>
      <c r="V762" s="37"/>
    </row>
    <row r="763">
      <c r="A763" s="39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7"/>
      <c r="O763" s="37"/>
      <c r="P763" s="37"/>
      <c r="Q763" s="37"/>
      <c r="R763" s="37"/>
      <c r="S763" s="37"/>
      <c r="T763" s="37"/>
      <c r="U763" s="37"/>
      <c r="V763" s="37"/>
    </row>
    <row r="764">
      <c r="A764" s="39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7"/>
      <c r="O764" s="37"/>
      <c r="P764" s="37"/>
      <c r="Q764" s="37"/>
      <c r="R764" s="37"/>
      <c r="S764" s="37"/>
      <c r="T764" s="37"/>
      <c r="U764" s="37"/>
      <c r="V764" s="37"/>
    </row>
    <row r="765">
      <c r="A765" s="39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7"/>
      <c r="O765" s="37"/>
      <c r="P765" s="37"/>
      <c r="Q765" s="37"/>
      <c r="R765" s="37"/>
      <c r="S765" s="37"/>
      <c r="T765" s="37"/>
      <c r="U765" s="37"/>
      <c r="V765" s="37"/>
    </row>
    <row r="766">
      <c r="A766" s="39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7"/>
      <c r="O766" s="37"/>
      <c r="P766" s="37"/>
      <c r="Q766" s="37"/>
      <c r="R766" s="37"/>
      <c r="S766" s="37"/>
      <c r="T766" s="37"/>
      <c r="U766" s="37"/>
      <c r="V766" s="37"/>
    </row>
    <row r="767">
      <c r="A767" s="39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7"/>
      <c r="O767" s="37"/>
      <c r="P767" s="37"/>
      <c r="Q767" s="37"/>
      <c r="R767" s="37"/>
      <c r="S767" s="37"/>
      <c r="T767" s="37"/>
      <c r="U767" s="37"/>
      <c r="V767" s="37"/>
    </row>
    <row r="768">
      <c r="A768" s="39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7"/>
      <c r="O768" s="37"/>
      <c r="P768" s="37"/>
      <c r="Q768" s="37"/>
      <c r="R768" s="37"/>
      <c r="S768" s="37"/>
      <c r="T768" s="37"/>
      <c r="U768" s="37"/>
      <c r="V768" s="37"/>
    </row>
    <row r="769">
      <c r="A769" s="39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7"/>
      <c r="O769" s="37"/>
      <c r="P769" s="37"/>
      <c r="Q769" s="37"/>
      <c r="R769" s="37"/>
      <c r="S769" s="37"/>
      <c r="T769" s="37"/>
      <c r="U769" s="37"/>
      <c r="V769" s="37"/>
    </row>
    <row r="770">
      <c r="A770" s="39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7"/>
      <c r="O770" s="37"/>
      <c r="P770" s="37"/>
      <c r="Q770" s="37"/>
      <c r="R770" s="37"/>
      <c r="S770" s="37"/>
      <c r="T770" s="37"/>
      <c r="U770" s="37"/>
      <c r="V770" s="37"/>
    </row>
    <row r="771">
      <c r="A771" s="39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7"/>
      <c r="O771" s="37"/>
      <c r="P771" s="37"/>
      <c r="Q771" s="37"/>
      <c r="R771" s="37"/>
      <c r="S771" s="37"/>
      <c r="T771" s="37"/>
      <c r="U771" s="37"/>
      <c r="V771" s="37"/>
    </row>
    <row r="772">
      <c r="A772" s="39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7"/>
      <c r="O772" s="37"/>
      <c r="P772" s="37"/>
      <c r="Q772" s="37"/>
      <c r="R772" s="37"/>
      <c r="S772" s="37"/>
      <c r="T772" s="37"/>
      <c r="U772" s="37"/>
      <c r="V772" s="37"/>
    </row>
    <row r="773">
      <c r="A773" s="39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7"/>
      <c r="O773" s="37"/>
      <c r="P773" s="37"/>
      <c r="Q773" s="37"/>
      <c r="R773" s="37"/>
      <c r="S773" s="37"/>
      <c r="T773" s="37"/>
      <c r="U773" s="37"/>
      <c r="V773" s="37"/>
    </row>
    <row r="774">
      <c r="A774" s="39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7"/>
      <c r="O774" s="37"/>
      <c r="P774" s="37"/>
      <c r="Q774" s="37"/>
      <c r="R774" s="37"/>
      <c r="S774" s="37"/>
      <c r="T774" s="37"/>
      <c r="U774" s="37"/>
      <c r="V774" s="37"/>
    </row>
    <row r="775">
      <c r="A775" s="39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7"/>
      <c r="O775" s="37"/>
      <c r="P775" s="37"/>
      <c r="Q775" s="37"/>
      <c r="R775" s="37"/>
      <c r="S775" s="37"/>
      <c r="T775" s="37"/>
      <c r="U775" s="37"/>
      <c r="V775" s="37"/>
    </row>
    <row r="776">
      <c r="A776" s="39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7"/>
      <c r="O776" s="37"/>
      <c r="P776" s="37"/>
      <c r="Q776" s="37"/>
      <c r="R776" s="37"/>
      <c r="S776" s="37"/>
      <c r="T776" s="37"/>
      <c r="U776" s="37"/>
      <c r="V776" s="37"/>
    </row>
    <row r="777">
      <c r="A777" s="39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7"/>
      <c r="O777" s="37"/>
      <c r="P777" s="37"/>
      <c r="Q777" s="37"/>
      <c r="R777" s="37"/>
      <c r="S777" s="37"/>
      <c r="T777" s="37"/>
      <c r="U777" s="37"/>
      <c r="V777" s="37"/>
    </row>
    <row r="778">
      <c r="A778" s="39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7"/>
      <c r="O778" s="37"/>
      <c r="P778" s="37"/>
      <c r="Q778" s="37"/>
      <c r="R778" s="37"/>
      <c r="S778" s="37"/>
      <c r="T778" s="37"/>
      <c r="U778" s="37"/>
      <c r="V778" s="37"/>
    </row>
    <row r="779">
      <c r="A779" s="39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7"/>
      <c r="O779" s="37"/>
      <c r="P779" s="37"/>
      <c r="Q779" s="37"/>
      <c r="R779" s="37"/>
      <c r="S779" s="37"/>
      <c r="T779" s="37"/>
      <c r="U779" s="37"/>
      <c r="V779" s="37"/>
    </row>
    <row r="780">
      <c r="A780" s="39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7"/>
      <c r="O780" s="37"/>
      <c r="P780" s="37"/>
      <c r="Q780" s="37"/>
      <c r="R780" s="37"/>
      <c r="S780" s="37"/>
      <c r="T780" s="37"/>
      <c r="U780" s="37"/>
      <c r="V780" s="37"/>
    </row>
    <row r="781">
      <c r="A781" s="39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7"/>
      <c r="O781" s="37"/>
      <c r="P781" s="37"/>
      <c r="Q781" s="37"/>
      <c r="R781" s="37"/>
      <c r="S781" s="37"/>
      <c r="T781" s="37"/>
      <c r="U781" s="37"/>
      <c r="V781" s="37"/>
    </row>
    <row r="782">
      <c r="A782" s="39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7"/>
      <c r="O782" s="37"/>
      <c r="P782" s="37"/>
      <c r="Q782" s="37"/>
      <c r="R782" s="37"/>
      <c r="S782" s="37"/>
      <c r="T782" s="37"/>
      <c r="U782" s="37"/>
      <c r="V782" s="37"/>
    </row>
    <row r="783">
      <c r="A783" s="39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7"/>
      <c r="O783" s="37"/>
      <c r="P783" s="37"/>
      <c r="Q783" s="37"/>
      <c r="R783" s="37"/>
      <c r="S783" s="37"/>
      <c r="T783" s="37"/>
      <c r="U783" s="37"/>
      <c r="V783" s="37"/>
    </row>
    <row r="784">
      <c r="A784" s="39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7"/>
      <c r="O784" s="37"/>
      <c r="P784" s="37"/>
      <c r="Q784" s="37"/>
      <c r="R784" s="37"/>
      <c r="S784" s="37"/>
      <c r="T784" s="37"/>
      <c r="U784" s="37"/>
      <c r="V784" s="37"/>
    </row>
    <row r="785">
      <c r="A785" s="39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7"/>
      <c r="O785" s="37"/>
      <c r="P785" s="37"/>
      <c r="Q785" s="37"/>
      <c r="R785" s="37"/>
      <c r="S785" s="37"/>
      <c r="T785" s="37"/>
      <c r="U785" s="37"/>
      <c r="V785" s="37"/>
    </row>
    <row r="786">
      <c r="A786" s="39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7"/>
      <c r="O786" s="37"/>
      <c r="P786" s="37"/>
      <c r="Q786" s="37"/>
      <c r="R786" s="37"/>
      <c r="S786" s="37"/>
      <c r="T786" s="37"/>
      <c r="U786" s="37"/>
      <c r="V786" s="37"/>
    </row>
    <row r="787">
      <c r="A787" s="39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7"/>
      <c r="O787" s="37"/>
      <c r="P787" s="37"/>
      <c r="Q787" s="37"/>
      <c r="R787" s="37"/>
      <c r="S787" s="37"/>
      <c r="T787" s="37"/>
      <c r="U787" s="37"/>
      <c r="V787" s="37"/>
    </row>
    <row r="788">
      <c r="A788" s="39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7"/>
      <c r="O788" s="37"/>
      <c r="P788" s="37"/>
      <c r="Q788" s="37"/>
      <c r="R788" s="37"/>
      <c r="S788" s="37"/>
      <c r="T788" s="37"/>
      <c r="U788" s="37"/>
      <c r="V788" s="37"/>
    </row>
    <row r="789">
      <c r="A789" s="39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7"/>
      <c r="O789" s="37"/>
      <c r="P789" s="37"/>
      <c r="Q789" s="37"/>
      <c r="R789" s="37"/>
      <c r="S789" s="37"/>
      <c r="T789" s="37"/>
      <c r="U789" s="37"/>
      <c r="V789" s="37"/>
    </row>
    <row r="790">
      <c r="A790" s="39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7"/>
      <c r="O790" s="37"/>
      <c r="P790" s="37"/>
      <c r="Q790" s="37"/>
      <c r="R790" s="37"/>
      <c r="S790" s="37"/>
      <c r="T790" s="37"/>
      <c r="U790" s="37"/>
      <c r="V790" s="37"/>
    </row>
    <row r="791">
      <c r="A791" s="39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7"/>
      <c r="O791" s="37"/>
      <c r="P791" s="37"/>
      <c r="Q791" s="37"/>
      <c r="R791" s="37"/>
      <c r="S791" s="37"/>
      <c r="T791" s="37"/>
      <c r="U791" s="37"/>
      <c r="V791" s="37"/>
    </row>
    <row r="792">
      <c r="A792" s="39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7"/>
      <c r="O792" s="37"/>
      <c r="P792" s="37"/>
      <c r="Q792" s="37"/>
      <c r="R792" s="37"/>
      <c r="S792" s="37"/>
      <c r="T792" s="37"/>
      <c r="U792" s="37"/>
      <c r="V792" s="37"/>
    </row>
    <row r="793">
      <c r="A793" s="39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7"/>
      <c r="O793" s="37"/>
      <c r="P793" s="37"/>
      <c r="Q793" s="37"/>
      <c r="R793" s="37"/>
      <c r="S793" s="37"/>
      <c r="T793" s="37"/>
      <c r="U793" s="37"/>
      <c r="V793" s="37"/>
    </row>
    <row r="794">
      <c r="A794" s="39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7"/>
      <c r="O794" s="37"/>
      <c r="P794" s="37"/>
      <c r="Q794" s="37"/>
      <c r="R794" s="37"/>
      <c r="S794" s="37"/>
      <c r="T794" s="37"/>
      <c r="U794" s="37"/>
      <c r="V794" s="37"/>
    </row>
    <row r="795">
      <c r="A795" s="39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7"/>
      <c r="O795" s="37"/>
      <c r="P795" s="37"/>
      <c r="Q795" s="37"/>
      <c r="R795" s="37"/>
      <c r="S795" s="37"/>
      <c r="T795" s="37"/>
      <c r="U795" s="37"/>
      <c r="V795" s="37"/>
    </row>
    <row r="796">
      <c r="A796" s="39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7"/>
      <c r="O796" s="37"/>
      <c r="P796" s="37"/>
      <c r="Q796" s="37"/>
      <c r="R796" s="37"/>
      <c r="S796" s="37"/>
      <c r="T796" s="37"/>
      <c r="U796" s="37"/>
      <c r="V796" s="37"/>
    </row>
    <row r="797">
      <c r="A797" s="39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7"/>
      <c r="O797" s="37"/>
      <c r="P797" s="37"/>
      <c r="Q797" s="37"/>
      <c r="R797" s="37"/>
      <c r="S797" s="37"/>
      <c r="T797" s="37"/>
      <c r="U797" s="37"/>
      <c r="V797" s="37"/>
    </row>
    <row r="798">
      <c r="A798" s="39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7"/>
      <c r="O798" s="37"/>
      <c r="P798" s="37"/>
      <c r="Q798" s="37"/>
      <c r="R798" s="37"/>
      <c r="S798" s="37"/>
      <c r="T798" s="37"/>
      <c r="U798" s="37"/>
      <c r="V798" s="37"/>
    </row>
    <row r="799">
      <c r="A799" s="39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7"/>
      <c r="O799" s="37"/>
      <c r="P799" s="37"/>
      <c r="Q799" s="37"/>
      <c r="R799" s="37"/>
      <c r="S799" s="37"/>
      <c r="T799" s="37"/>
      <c r="U799" s="37"/>
      <c r="V799" s="37"/>
    </row>
    <row r="800">
      <c r="A800" s="39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7"/>
      <c r="O800" s="37"/>
      <c r="P800" s="37"/>
      <c r="Q800" s="37"/>
      <c r="R800" s="37"/>
      <c r="S800" s="37"/>
      <c r="T800" s="37"/>
      <c r="U800" s="37"/>
      <c r="V800" s="37"/>
    </row>
    <row r="801">
      <c r="A801" s="39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7"/>
      <c r="O801" s="37"/>
      <c r="P801" s="37"/>
      <c r="Q801" s="37"/>
      <c r="R801" s="37"/>
      <c r="S801" s="37"/>
      <c r="T801" s="37"/>
      <c r="U801" s="37"/>
      <c r="V801" s="37"/>
    </row>
    <row r="802">
      <c r="A802" s="39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7"/>
      <c r="O802" s="37"/>
      <c r="P802" s="37"/>
      <c r="Q802" s="37"/>
      <c r="R802" s="37"/>
      <c r="S802" s="37"/>
      <c r="T802" s="37"/>
      <c r="U802" s="37"/>
      <c r="V802" s="37"/>
    </row>
    <row r="803">
      <c r="A803" s="39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7"/>
      <c r="O803" s="37"/>
      <c r="P803" s="37"/>
      <c r="Q803" s="37"/>
      <c r="R803" s="37"/>
      <c r="S803" s="37"/>
      <c r="T803" s="37"/>
      <c r="U803" s="37"/>
      <c r="V803" s="37"/>
    </row>
    <row r="804">
      <c r="A804" s="39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7"/>
      <c r="O804" s="37"/>
      <c r="P804" s="37"/>
      <c r="Q804" s="37"/>
      <c r="R804" s="37"/>
      <c r="S804" s="37"/>
      <c r="T804" s="37"/>
      <c r="U804" s="37"/>
      <c r="V804" s="37"/>
    </row>
    <row r="805">
      <c r="A805" s="39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7"/>
      <c r="O805" s="37"/>
      <c r="P805" s="37"/>
      <c r="Q805" s="37"/>
      <c r="R805" s="37"/>
      <c r="S805" s="37"/>
      <c r="T805" s="37"/>
      <c r="U805" s="37"/>
      <c r="V805" s="37"/>
    </row>
    <row r="806">
      <c r="A806" s="39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7"/>
      <c r="O806" s="37"/>
      <c r="P806" s="37"/>
      <c r="Q806" s="37"/>
      <c r="R806" s="37"/>
      <c r="S806" s="37"/>
      <c r="T806" s="37"/>
      <c r="U806" s="37"/>
      <c r="V806" s="37"/>
    </row>
    <row r="807">
      <c r="A807" s="39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7"/>
      <c r="O807" s="37"/>
      <c r="P807" s="37"/>
      <c r="Q807" s="37"/>
      <c r="R807" s="37"/>
      <c r="S807" s="37"/>
      <c r="T807" s="37"/>
      <c r="U807" s="37"/>
      <c r="V807" s="37"/>
    </row>
    <row r="808">
      <c r="A808" s="39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7"/>
      <c r="O808" s="37"/>
      <c r="P808" s="37"/>
      <c r="Q808" s="37"/>
      <c r="R808" s="37"/>
      <c r="S808" s="37"/>
      <c r="T808" s="37"/>
      <c r="U808" s="37"/>
      <c r="V808" s="37"/>
    </row>
    <row r="809">
      <c r="A809" s="39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7"/>
      <c r="O809" s="37"/>
      <c r="P809" s="37"/>
      <c r="Q809" s="37"/>
      <c r="R809" s="37"/>
      <c r="S809" s="37"/>
      <c r="T809" s="37"/>
      <c r="U809" s="37"/>
      <c r="V809" s="37"/>
    </row>
    <row r="810">
      <c r="A810" s="39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7"/>
      <c r="O810" s="37"/>
      <c r="P810" s="37"/>
      <c r="Q810" s="37"/>
      <c r="R810" s="37"/>
      <c r="S810" s="37"/>
      <c r="T810" s="37"/>
      <c r="U810" s="37"/>
      <c r="V810" s="37"/>
    </row>
    <row r="811">
      <c r="A811" s="39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7"/>
      <c r="O811" s="37"/>
      <c r="P811" s="37"/>
      <c r="Q811" s="37"/>
      <c r="R811" s="37"/>
      <c r="S811" s="37"/>
      <c r="T811" s="37"/>
      <c r="U811" s="37"/>
      <c r="V811" s="37"/>
    </row>
    <row r="812">
      <c r="A812" s="39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7"/>
      <c r="O812" s="37"/>
      <c r="P812" s="37"/>
      <c r="Q812" s="37"/>
      <c r="R812" s="37"/>
      <c r="S812" s="37"/>
      <c r="T812" s="37"/>
      <c r="U812" s="37"/>
      <c r="V812" s="37"/>
    </row>
    <row r="813">
      <c r="A813" s="39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7"/>
      <c r="O813" s="37"/>
      <c r="P813" s="37"/>
      <c r="Q813" s="37"/>
      <c r="R813" s="37"/>
      <c r="S813" s="37"/>
      <c r="T813" s="37"/>
      <c r="U813" s="37"/>
      <c r="V813" s="37"/>
    </row>
    <row r="814">
      <c r="A814" s="39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7"/>
      <c r="O814" s="37"/>
      <c r="P814" s="37"/>
      <c r="Q814" s="37"/>
      <c r="R814" s="37"/>
      <c r="S814" s="37"/>
      <c r="T814" s="37"/>
      <c r="U814" s="37"/>
      <c r="V814" s="37"/>
    </row>
    <row r="815">
      <c r="A815" s="39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7"/>
      <c r="O815" s="37"/>
      <c r="P815" s="37"/>
      <c r="Q815" s="37"/>
      <c r="R815" s="37"/>
      <c r="S815" s="37"/>
      <c r="T815" s="37"/>
      <c r="U815" s="37"/>
      <c r="V815" s="37"/>
    </row>
    <row r="816">
      <c r="A816" s="39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7"/>
      <c r="O816" s="37"/>
      <c r="P816" s="37"/>
      <c r="Q816" s="37"/>
      <c r="R816" s="37"/>
      <c r="S816" s="37"/>
      <c r="T816" s="37"/>
      <c r="U816" s="37"/>
      <c r="V816" s="37"/>
    </row>
    <row r="817">
      <c r="A817" s="39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7"/>
      <c r="O817" s="37"/>
      <c r="P817" s="37"/>
      <c r="Q817" s="37"/>
      <c r="R817" s="37"/>
      <c r="S817" s="37"/>
      <c r="T817" s="37"/>
      <c r="U817" s="37"/>
      <c r="V817" s="37"/>
    </row>
    <row r="818">
      <c r="A818" s="39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7"/>
      <c r="O818" s="37"/>
      <c r="P818" s="37"/>
      <c r="Q818" s="37"/>
      <c r="R818" s="37"/>
      <c r="S818" s="37"/>
      <c r="T818" s="37"/>
      <c r="U818" s="37"/>
      <c r="V818" s="37"/>
    </row>
    <row r="819">
      <c r="A819" s="39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7"/>
      <c r="O819" s="37"/>
      <c r="P819" s="37"/>
      <c r="Q819" s="37"/>
      <c r="R819" s="37"/>
      <c r="S819" s="37"/>
      <c r="T819" s="37"/>
      <c r="U819" s="37"/>
      <c r="V819" s="37"/>
    </row>
    <row r="820">
      <c r="A820" s="39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7"/>
      <c r="O820" s="37"/>
      <c r="P820" s="37"/>
      <c r="Q820" s="37"/>
      <c r="R820" s="37"/>
      <c r="S820" s="37"/>
      <c r="T820" s="37"/>
      <c r="U820" s="37"/>
      <c r="V820" s="37"/>
    </row>
    <row r="821">
      <c r="A821" s="39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7"/>
      <c r="O821" s="37"/>
      <c r="P821" s="37"/>
      <c r="Q821" s="37"/>
      <c r="R821" s="37"/>
      <c r="S821" s="37"/>
      <c r="T821" s="37"/>
      <c r="U821" s="37"/>
      <c r="V821" s="37"/>
    </row>
    <row r="822">
      <c r="A822" s="39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7"/>
      <c r="O822" s="37"/>
      <c r="P822" s="37"/>
      <c r="Q822" s="37"/>
      <c r="R822" s="37"/>
      <c r="S822" s="37"/>
      <c r="T822" s="37"/>
      <c r="U822" s="37"/>
      <c r="V822" s="37"/>
    </row>
    <row r="823">
      <c r="A823" s="39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7"/>
      <c r="O823" s="37"/>
      <c r="P823" s="37"/>
      <c r="Q823" s="37"/>
      <c r="R823" s="37"/>
      <c r="S823" s="37"/>
      <c r="T823" s="37"/>
      <c r="U823" s="37"/>
      <c r="V823" s="37"/>
    </row>
    <row r="824">
      <c r="A824" s="39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7"/>
      <c r="O824" s="37"/>
      <c r="P824" s="37"/>
      <c r="Q824" s="37"/>
      <c r="R824" s="37"/>
      <c r="S824" s="37"/>
      <c r="T824" s="37"/>
      <c r="U824" s="37"/>
      <c r="V824" s="37"/>
    </row>
    <row r="825">
      <c r="A825" s="39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7"/>
      <c r="O825" s="37"/>
      <c r="P825" s="37"/>
      <c r="Q825" s="37"/>
      <c r="R825" s="37"/>
      <c r="S825" s="37"/>
      <c r="T825" s="37"/>
      <c r="U825" s="37"/>
      <c r="V825" s="37"/>
    </row>
    <row r="826">
      <c r="A826" s="39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7"/>
      <c r="O826" s="37"/>
      <c r="P826" s="37"/>
      <c r="Q826" s="37"/>
      <c r="R826" s="37"/>
      <c r="S826" s="37"/>
      <c r="T826" s="37"/>
      <c r="U826" s="37"/>
      <c r="V826" s="37"/>
    </row>
    <row r="827">
      <c r="A827" s="39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7"/>
      <c r="O827" s="37"/>
      <c r="P827" s="37"/>
      <c r="Q827" s="37"/>
      <c r="R827" s="37"/>
      <c r="S827" s="37"/>
      <c r="T827" s="37"/>
      <c r="U827" s="37"/>
      <c r="V827" s="37"/>
    </row>
    <row r="828">
      <c r="A828" s="39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7"/>
      <c r="O828" s="37"/>
      <c r="P828" s="37"/>
      <c r="Q828" s="37"/>
      <c r="R828" s="37"/>
      <c r="S828" s="37"/>
      <c r="T828" s="37"/>
      <c r="U828" s="37"/>
      <c r="V828" s="37"/>
    </row>
    <row r="829">
      <c r="A829" s="39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7"/>
      <c r="O829" s="37"/>
      <c r="P829" s="37"/>
      <c r="Q829" s="37"/>
      <c r="R829" s="37"/>
      <c r="S829" s="37"/>
      <c r="T829" s="37"/>
      <c r="U829" s="37"/>
      <c r="V829" s="37"/>
    </row>
    <row r="830">
      <c r="A830" s="39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7"/>
      <c r="O830" s="37"/>
      <c r="P830" s="37"/>
      <c r="Q830" s="37"/>
      <c r="R830" s="37"/>
      <c r="S830" s="37"/>
      <c r="T830" s="37"/>
      <c r="U830" s="37"/>
      <c r="V830" s="37"/>
    </row>
    <row r="831">
      <c r="A831" s="39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7"/>
      <c r="O831" s="37"/>
      <c r="P831" s="37"/>
      <c r="Q831" s="37"/>
      <c r="R831" s="37"/>
      <c r="S831" s="37"/>
      <c r="T831" s="37"/>
      <c r="U831" s="37"/>
      <c r="V831" s="37"/>
    </row>
    <row r="832">
      <c r="A832" s="39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7"/>
      <c r="O832" s="37"/>
      <c r="P832" s="37"/>
      <c r="Q832" s="37"/>
      <c r="R832" s="37"/>
      <c r="S832" s="37"/>
      <c r="T832" s="37"/>
      <c r="U832" s="37"/>
      <c r="V832" s="37"/>
    </row>
    <row r="833">
      <c r="A833" s="39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7"/>
      <c r="O833" s="37"/>
      <c r="P833" s="37"/>
      <c r="Q833" s="37"/>
      <c r="R833" s="37"/>
      <c r="S833" s="37"/>
      <c r="T833" s="37"/>
      <c r="U833" s="37"/>
      <c r="V833" s="37"/>
    </row>
    <row r="834">
      <c r="A834" s="39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7"/>
      <c r="O834" s="37"/>
      <c r="P834" s="37"/>
      <c r="Q834" s="37"/>
      <c r="R834" s="37"/>
      <c r="S834" s="37"/>
      <c r="T834" s="37"/>
      <c r="U834" s="37"/>
      <c r="V834" s="37"/>
    </row>
    <row r="835">
      <c r="A835" s="39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7"/>
      <c r="O835" s="37"/>
      <c r="P835" s="37"/>
      <c r="Q835" s="37"/>
      <c r="R835" s="37"/>
      <c r="S835" s="37"/>
      <c r="T835" s="37"/>
      <c r="U835" s="37"/>
      <c r="V835" s="37"/>
    </row>
    <row r="836">
      <c r="A836" s="39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7"/>
      <c r="O836" s="37"/>
      <c r="P836" s="37"/>
      <c r="Q836" s="37"/>
      <c r="R836" s="37"/>
      <c r="S836" s="37"/>
      <c r="T836" s="37"/>
      <c r="U836" s="37"/>
      <c r="V836" s="37"/>
    </row>
    <row r="837">
      <c r="A837" s="39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7"/>
      <c r="O837" s="37"/>
      <c r="P837" s="37"/>
      <c r="Q837" s="37"/>
      <c r="R837" s="37"/>
      <c r="S837" s="37"/>
      <c r="T837" s="37"/>
      <c r="U837" s="37"/>
      <c r="V837" s="37"/>
    </row>
    <row r="838">
      <c r="A838" s="39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7"/>
      <c r="O838" s="37"/>
      <c r="P838" s="37"/>
      <c r="Q838" s="37"/>
      <c r="R838" s="37"/>
      <c r="S838" s="37"/>
      <c r="T838" s="37"/>
      <c r="U838" s="37"/>
      <c r="V838" s="37"/>
    </row>
    <row r="839">
      <c r="A839" s="39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7"/>
      <c r="O839" s="37"/>
      <c r="P839" s="37"/>
      <c r="Q839" s="37"/>
      <c r="R839" s="37"/>
      <c r="S839" s="37"/>
      <c r="T839" s="37"/>
      <c r="U839" s="37"/>
      <c r="V839" s="37"/>
    </row>
    <row r="840">
      <c r="A840" s="39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7"/>
      <c r="O840" s="37"/>
      <c r="P840" s="37"/>
      <c r="Q840" s="37"/>
      <c r="R840" s="37"/>
      <c r="S840" s="37"/>
      <c r="T840" s="37"/>
      <c r="U840" s="37"/>
      <c r="V840" s="37"/>
    </row>
    <row r="841">
      <c r="A841" s="39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7"/>
      <c r="O841" s="37"/>
      <c r="P841" s="37"/>
      <c r="Q841" s="37"/>
      <c r="R841" s="37"/>
      <c r="S841" s="37"/>
      <c r="T841" s="37"/>
      <c r="U841" s="37"/>
      <c r="V841" s="37"/>
    </row>
    <row r="842">
      <c r="A842" s="39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7"/>
      <c r="O842" s="37"/>
      <c r="P842" s="37"/>
      <c r="Q842" s="37"/>
      <c r="R842" s="37"/>
      <c r="S842" s="37"/>
      <c r="T842" s="37"/>
      <c r="U842" s="37"/>
      <c r="V842" s="37"/>
    </row>
    <row r="843">
      <c r="A843" s="39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7"/>
      <c r="O843" s="37"/>
      <c r="P843" s="37"/>
      <c r="Q843" s="37"/>
      <c r="R843" s="37"/>
      <c r="S843" s="37"/>
      <c r="T843" s="37"/>
      <c r="U843" s="37"/>
      <c r="V843" s="37"/>
    </row>
    <row r="844">
      <c r="A844" s="39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7"/>
      <c r="O844" s="37"/>
      <c r="P844" s="37"/>
      <c r="Q844" s="37"/>
      <c r="R844" s="37"/>
      <c r="S844" s="37"/>
      <c r="T844" s="37"/>
      <c r="U844" s="37"/>
      <c r="V844" s="37"/>
    </row>
    <row r="845">
      <c r="A845" s="39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7"/>
      <c r="O845" s="37"/>
      <c r="P845" s="37"/>
      <c r="Q845" s="37"/>
      <c r="R845" s="37"/>
      <c r="S845" s="37"/>
      <c r="T845" s="37"/>
      <c r="U845" s="37"/>
      <c r="V845" s="37"/>
    </row>
    <row r="846">
      <c r="A846" s="39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7"/>
      <c r="O846" s="37"/>
      <c r="P846" s="37"/>
      <c r="Q846" s="37"/>
      <c r="R846" s="37"/>
      <c r="S846" s="37"/>
      <c r="T846" s="37"/>
      <c r="U846" s="37"/>
      <c r="V846" s="37"/>
    </row>
    <row r="847">
      <c r="A847" s="39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7"/>
      <c r="O847" s="37"/>
      <c r="P847" s="37"/>
      <c r="Q847" s="37"/>
      <c r="R847" s="37"/>
      <c r="S847" s="37"/>
      <c r="T847" s="37"/>
      <c r="U847" s="37"/>
      <c r="V847" s="37"/>
    </row>
    <row r="848">
      <c r="A848" s="39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7"/>
      <c r="O848" s="37"/>
      <c r="P848" s="37"/>
      <c r="Q848" s="37"/>
      <c r="R848" s="37"/>
      <c r="S848" s="37"/>
      <c r="T848" s="37"/>
      <c r="U848" s="37"/>
      <c r="V848" s="37"/>
    </row>
    <row r="849">
      <c r="A849" s="39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7"/>
      <c r="O849" s="37"/>
      <c r="P849" s="37"/>
      <c r="Q849" s="37"/>
      <c r="R849" s="37"/>
      <c r="S849" s="37"/>
      <c r="T849" s="37"/>
      <c r="U849" s="37"/>
      <c r="V849" s="37"/>
    </row>
    <row r="850">
      <c r="A850" s="39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7"/>
      <c r="O850" s="37"/>
      <c r="P850" s="37"/>
      <c r="Q850" s="37"/>
      <c r="R850" s="37"/>
      <c r="S850" s="37"/>
      <c r="T850" s="37"/>
      <c r="U850" s="37"/>
      <c r="V850" s="37"/>
    </row>
    <row r="851">
      <c r="A851" s="39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7"/>
      <c r="O851" s="37"/>
      <c r="P851" s="37"/>
      <c r="Q851" s="37"/>
      <c r="R851" s="37"/>
      <c r="S851" s="37"/>
      <c r="T851" s="37"/>
      <c r="U851" s="37"/>
      <c r="V851" s="37"/>
    </row>
    <row r="852">
      <c r="A852" s="39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7"/>
      <c r="O852" s="37"/>
      <c r="P852" s="37"/>
      <c r="Q852" s="37"/>
      <c r="R852" s="37"/>
      <c r="S852" s="37"/>
      <c r="T852" s="37"/>
      <c r="U852" s="37"/>
      <c r="V852" s="37"/>
    </row>
    <row r="853">
      <c r="A853" s="39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7"/>
      <c r="O853" s="37"/>
      <c r="P853" s="37"/>
      <c r="Q853" s="37"/>
      <c r="R853" s="37"/>
      <c r="S853" s="37"/>
      <c r="T853" s="37"/>
      <c r="U853" s="37"/>
      <c r="V853" s="37"/>
    </row>
    <row r="854">
      <c r="A854" s="39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7"/>
      <c r="O854" s="37"/>
      <c r="P854" s="37"/>
      <c r="Q854" s="37"/>
      <c r="R854" s="37"/>
      <c r="S854" s="37"/>
      <c r="T854" s="37"/>
      <c r="U854" s="37"/>
      <c r="V854" s="37"/>
    </row>
    <row r="855">
      <c r="A855" s="39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7"/>
      <c r="O855" s="37"/>
      <c r="P855" s="37"/>
      <c r="Q855" s="37"/>
      <c r="R855" s="37"/>
      <c r="S855" s="37"/>
      <c r="T855" s="37"/>
      <c r="U855" s="37"/>
      <c r="V855" s="37"/>
    </row>
    <row r="856">
      <c r="A856" s="39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7"/>
      <c r="O856" s="37"/>
      <c r="P856" s="37"/>
      <c r="Q856" s="37"/>
      <c r="R856" s="37"/>
      <c r="S856" s="37"/>
      <c r="T856" s="37"/>
      <c r="U856" s="37"/>
      <c r="V856" s="37"/>
    </row>
    <row r="857">
      <c r="A857" s="39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7"/>
      <c r="O857" s="37"/>
      <c r="P857" s="37"/>
      <c r="Q857" s="37"/>
      <c r="R857" s="37"/>
      <c r="S857" s="37"/>
      <c r="T857" s="37"/>
      <c r="U857" s="37"/>
      <c r="V857" s="37"/>
    </row>
    <row r="858">
      <c r="A858" s="39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7"/>
      <c r="O858" s="37"/>
      <c r="P858" s="37"/>
      <c r="Q858" s="37"/>
      <c r="R858" s="37"/>
      <c r="S858" s="37"/>
      <c r="T858" s="37"/>
      <c r="U858" s="37"/>
      <c r="V858" s="37"/>
    </row>
    <row r="859">
      <c r="A859" s="39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7"/>
      <c r="O859" s="37"/>
      <c r="P859" s="37"/>
      <c r="Q859" s="37"/>
      <c r="R859" s="37"/>
      <c r="S859" s="37"/>
      <c r="T859" s="37"/>
      <c r="U859" s="37"/>
      <c r="V859" s="37"/>
    </row>
    <row r="860">
      <c r="A860" s="39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7"/>
      <c r="O860" s="37"/>
      <c r="P860" s="37"/>
      <c r="Q860" s="37"/>
      <c r="R860" s="37"/>
      <c r="S860" s="37"/>
      <c r="T860" s="37"/>
      <c r="U860" s="37"/>
      <c r="V860" s="37"/>
    </row>
    <row r="861">
      <c r="A861" s="39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7"/>
      <c r="O861" s="37"/>
      <c r="P861" s="37"/>
      <c r="Q861" s="37"/>
      <c r="R861" s="37"/>
      <c r="S861" s="37"/>
      <c r="T861" s="37"/>
      <c r="U861" s="37"/>
      <c r="V861" s="37"/>
    </row>
    <row r="862">
      <c r="A862" s="39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7"/>
      <c r="O862" s="37"/>
      <c r="P862" s="37"/>
      <c r="Q862" s="37"/>
      <c r="R862" s="37"/>
      <c r="S862" s="37"/>
      <c r="T862" s="37"/>
      <c r="U862" s="37"/>
      <c r="V862" s="37"/>
    </row>
    <row r="863">
      <c r="A863" s="39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7"/>
      <c r="O863" s="37"/>
      <c r="P863" s="37"/>
      <c r="Q863" s="37"/>
      <c r="R863" s="37"/>
      <c r="S863" s="37"/>
      <c r="T863" s="37"/>
      <c r="U863" s="37"/>
      <c r="V863" s="37"/>
    </row>
    <row r="864">
      <c r="A864" s="39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7"/>
      <c r="O864" s="37"/>
      <c r="P864" s="37"/>
      <c r="Q864" s="37"/>
      <c r="R864" s="37"/>
      <c r="S864" s="37"/>
      <c r="T864" s="37"/>
      <c r="U864" s="37"/>
      <c r="V864" s="37"/>
    </row>
    <row r="865">
      <c r="A865" s="39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7"/>
      <c r="O865" s="37"/>
      <c r="P865" s="37"/>
      <c r="Q865" s="37"/>
      <c r="R865" s="37"/>
      <c r="S865" s="37"/>
      <c r="T865" s="37"/>
      <c r="U865" s="37"/>
      <c r="V865" s="37"/>
    </row>
    <row r="866">
      <c r="A866" s="39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7"/>
      <c r="O866" s="37"/>
      <c r="P866" s="37"/>
      <c r="Q866" s="37"/>
      <c r="R866" s="37"/>
      <c r="S866" s="37"/>
      <c r="T866" s="37"/>
      <c r="U866" s="37"/>
      <c r="V866" s="37"/>
    </row>
    <row r="867">
      <c r="A867" s="39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7"/>
      <c r="O867" s="37"/>
      <c r="P867" s="37"/>
      <c r="Q867" s="37"/>
      <c r="R867" s="37"/>
      <c r="S867" s="37"/>
      <c r="T867" s="37"/>
      <c r="U867" s="37"/>
      <c r="V867" s="37"/>
    </row>
    <row r="868">
      <c r="A868" s="39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7"/>
      <c r="O868" s="37"/>
      <c r="P868" s="37"/>
      <c r="Q868" s="37"/>
      <c r="R868" s="37"/>
      <c r="S868" s="37"/>
      <c r="T868" s="37"/>
      <c r="U868" s="37"/>
      <c r="V868" s="37"/>
    </row>
    <row r="869">
      <c r="A869" s="39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7"/>
      <c r="O869" s="37"/>
      <c r="P869" s="37"/>
      <c r="Q869" s="37"/>
      <c r="R869" s="37"/>
      <c r="S869" s="37"/>
      <c r="T869" s="37"/>
      <c r="U869" s="37"/>
      <c r="V869" s="37"/>
    </row>
    <row r="870">
      <c r="A870" s="39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7"/>
      <c r="O870" s="37"/>
      <c r="P870" s="37"/>
      <c r="Q870" s="37"/>
      <c r="R870" s="37"/>
      <c r="S870" s="37"/>
      <c r="T870" s="37"/>
      <c r="U870" s="37"/>
      <c r="V870" s="37"/>
    </row>
    <row r="871">
      <c r="A871" s="39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7"/>
      <c r="O871" s="37"/>
      <c r="P871" s="37"/>
      <c r="Q871" s="37"/>
      <c r="R871" s="37"/>
      <c r="S871" s="37"/>
      <c r="T871" s="37"/>
      <c r="U871" s="37"/>
      <c r="V871" s="37"/>
    </row>
    <row r="872">
      <c r="A872" s="39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7"/>
      <c r="O872" s="37"/>
      <c r="P872" s="37"/>
      <c r="Q872" s="37"/>
      <c r="R872" s="37"/>
      <c r="S872" s="37"/>
      <c r="T872" s="37"/>
      <c r="U872" s="37"/>
      <c r="V872" s="37"/>
    </row>
    <row r="873">
      <c r="A873" s="39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7"/>
      <c r="O873" s="37"/>
      <c r="P873" s="37"/>
      <c r="Q873" s="37"/>
      <c r="R873" s="37"/>
      <c r="S873" s="37"/>
      <c r="T873" s="37"/>
      <c r="U873" s="37"/>
      <c r="V873" s="37"/>
    </row>
    <row r="874">
      <c r="A874" s="39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7"/>
      <c r="O874" s="37"/>
      <c r="P874" s="37"/>
      <c r="Q874" s="37"/>
      <c r="R874" s="37"/>
      <c r="S874" s="37"/>
      <c r="T874" s="37"/>
      <c r="U874" s="37"/>
      <c r="V874" s="37"/>
    </row>
    <row r="875">
      <c r="A875" s="39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7"/>
      <c r="O875" s="37"/>
      <c r="P875" s="37"/>
      <c r="Q875" s="37"/>
      <c r="R875" s="37"/>
      <c r="S875" s="37"/>
      <c r="T875" s="37"/>
      <c r="U875" s="37"/>
      <c r="V875" s="37"/>
    </row>
    <row r="876">
      <c r="A876" s="39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7"/>
      <c r="O876" s="37"/>
      <c r="P876" s="37"/>
      <c r="Q876" s="37"/>
      <c r="R876" s="37"/>
      <c r="S876" s="37"/>
      <c r="T876" s="37"/>
      <c r="U876" s="37"/>
      <c r="V876" s="37"/>
    </row>
    <row r="877">
      <c r="A877" s="39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7"/>
      <c r="O877" s="37"/>
      <c r="P877" s="37"/>
      <c r="Q877" s="37"/>
      <c r="R877" s="37"/>
      <c r="S877" s="37"/>
      <c r="T877" s="37"/>
      <c r="U877" s="37"/>
      <c r="V877" s="37"/>
    </row>
    <row r="878">
      <c r="A878" s="39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7"/>
      <c r="O878" s="37"/>
      <c r="P878" s="37"/>
      <c r="Q878" s="37"/>
      <c r="R878" s="37"/>
      <c r="S878" s="37"/>
      <c r="T878" s="37"/>
      <c r="U878" s="37"/>
      <c r="V878" s="37"/>
    </row>
    <row r="879">
      <c r="A879" s="39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7"/>
      <c r="O879" s="37"/>
      <c r="P879" s="37"/>
      <c r="Q879" s="37"/>
      <c r="R879" s="37"/>
      <c r="S879" s="37"/>
      <c r="T879" s="37"/>
      <c r="U879" s="37"/>
      <c r="V879" s="37"/>
    </row>
    <row r="880">
      <c r="A880" s="39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7"/>
      <c r="O880" s="37"/>
      <c r="P880" s="37"/>
      <c r="Q880" s="37"/>
      <c r="R880" s="37"/>
      <c r="S880" s="37"/>
      <c r="T880" s="37"/>
      <c r="U880" s="37"/>
      <c r="V880" s="37"/>
    </row>
    <row r="881">
      <c r="A881" s="39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7"/>
      <c r="O881" s="37"/>
      <c r="P881" s="37"/>
      <c r="Q881" s="37"/>
      <c r="R881" s="37"/>
      <c r="S881" s="37"/>
      <c r="T881" s="37"/>
      <c r="U881" s="37"/>
      <c r="V881" s="37"/>
    </row>
    <row r="882">
      <c r="A882" s="39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7"/>
      <c r="O882" s="37"/>
      <c r="P882" s="37"/>
      <c r="Q882" s="37"/>
      <c r="R882" s="37"/>
      <c r="S882" s="37"/>
      <c r="T882" s="37"/>
      <c r="U882" s="37"/>
      <c r="V882" s="37"/>
    </row>
    <row r="883">
      <c r="A883" s="39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7"/>
      <c r="O883" s="37"/>
      <c r="P883" s="37"/>
      <c r="Q883" s="37"/>
      <c r="R883" s="37"/>
      <c r="S883" s="37"/>
      <c r="T883" s="37"/>
      <c r="U883" s="37"/>
      <c r="V883" s="37"/>
    </row>
    <row r="884">
      <c r="A884" s="39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7"/>
      <c r="O884" s="37"/>
      <c r="P884" s="37"/>
      <c r="Q884" s="37"/>
      <c r="R884" s="37"/>
      <c r="S884" s="37"/>
      <c r="T884" s="37"/>
      <c r="U884" s="37"/>
      <c r="V884" s="37"/>
    </row>
    <row r="885">
      <c r="A885" s="39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7"/>
      <c r="O885" s="37"/>
      <c r="P885" s="37"/>
      <c r="Q885" s="37"/>
      <c r="R885" s="37"/>
      <c r="S885" s="37"/>
      <c r="T885" s="37"/>
      <c r="U885" s="37"/>
      <c r="V885" s="37"/>
    </row>
    <row r="886">
      <c r="A886" s="39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7"/>
      <c r="O886" s="37"/>
      <c r="P886" s="37"/>
      <c r="Q886" s="37"/>
      <c r="R886" s="37"/>
      <c r="S886" s="37"/>
      <c r="T886" s="37"/>
      <c r="U886" s="37"/>
      <c r="V886" s="37"/>
    </row>
    <row r="887">
      <c r="A887" s="39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7"/>
      <c r="O887" s="37"/>
      <c r="P887" s="37"/>
      <c r="Q887" s="37"/>
      <c r="R887" s="37"/>
      <c r="S887" s="37"/>
      <c r="T887" s="37"/>
      <c r="U887" s="37"/>
      <c r="V887" s="37"/>
    </row>
    <row r="888">
      <c r="A888" s="39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7"/>
      <c r="O888" s="37"/>
      <c r="P888" s="37"/>
      <c r="Q888" s="37"/>
      <c r="R888" s="37"/>
      <c r="S888" s="37"/>
      <c r="T888" s="37"/>
      <c r="U888" s="37"/>
      <c r="V888" s="37"/>
    </row>
    <row r="889">
      <c r="A889" s="39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7"/>
      <c r="O889" s="37"/>
      <c r="P889" s="37"/>
      <c r="Q889" s="37"/>
      <c r="R889" s="37"/>
      <c r="S889" s="37"/>
      <c r="T889" s="37"/>
      <c r="U889" s="37"/>
      <c r="V889" s="37"/>
    </row>
    <row r="890">
      <c r="A890" s="39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7"/>
      <c r="O890" s="37"/>
      <c r="P890" s="37"/>
      <c r="Q890" s="37"/>
      <c r="R890" s="37"/>
      <c r="S890" s="37"/>
      <c r="T890" s="37"/>
      <c r="U890" s="37"/>
      <c r="V890" s="37"/>
    </row>
    <row r="891">
      <c r="A891" s="39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7"/>
      <c r="O891" s="37"/>
      <c r="P891" s="37"/>
      <c r="Q891" s="37"/>
      <c r="R891" s="37"/>
      <c r="S891" s="37"/>
      <c r="T891" s="37"/>
      <c r="U891" s="37"/>
      <c r="V891" s="37"/>
    </row>
    <row r="892">
      <c r="A892" s="39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7"/>
      <c r="O892" s="37"/>
      <c r="P892" s="37"/>
      <c r="Q892" s="37"/>
      <c r="R892" s="37"/>
      <c r="S892" s="37"/>
      <c r="T892" s="37"/>
      <c r="U892" s="37"/>
      <c r="V892" s="37"/>
    </row>
    <row r="893">
      <c r="A893" s="39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7"/>
      <c r="O893" s="37"/>
      <c r="P893" s="37"/>
      <c r="Q893" s="37"/>
      <c r="R893" s="37"/>
      <c r="S893" s="37"/>
      <c r="T893" s="37"/>
      <c r="U893" s="37"/>
      <c r="V893" s="37"/>
    </row>
    <row r="894">
      <c r="A894" s="39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7"/>
      <c r="O894" s="37"/>
      <c r="P894" s="37"/>
      <c r="Q894" s="37"/>
      <c r="R894" s="37"/>
      <c r="S894" s="37"/>
      <c r="T894" s="37"/>
      <c r="U894" s="37"/>
      <c r="V894" s="37"/>
    </row>
    <row r="895">
      <c r="A895" s="39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7"/>
      <c r="O895" s="37"/>
      <c r="P895" s="37"/>
      <c r="Q895" s="37"/>
      <c r="R895" s="37"/>
      <c r="S895" s="37"/>
      <c r="T895" s="37"/>
      <c r="U895" s="37"/>
      <c r="V895" s="37"/>
    </row>
    <row r="896">
      <c r="A896" s="39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7"/>
      <c r="O896" s="37"/>
      <c r="P896" s="37"/>
      <c r="Q896" s="37"/>
      <c r="R896" s="37"/>
      <c r="S896" s="37"/>
      <c r="T896" s="37"/>
      <c r="U896" s="37"/>
      <c r="V896" s="37"/>
    </row>
    <row r="897">
      <c r="A897" s="39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7"/>
      <c r="O897" s="37"/>
      <c r="P897" s="37"/>
      <c r="Q897" s="37"/>
      <c r="R897" s="37"/>
      <c r="S897" s="37"/>
      <c r="T897" s="37"/>
      <c r="U897" s="37"/>
      <c r="V897" s="37"/>
    </row>
    <row r="898">
      <c r="A898" s="39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7"/>
      <c r="O898" s="37"/>
      <c r="P898" s="37"/>
      <c r="Q898" s="37"/>
      <c r="R898" s="37"/>
      <c r="S898" s="37"/>
      <c r="T898" s="37"/>
      <c r="U898" s="37"/>
      <c r="V898" s="37"/>
    </row>
    <row r="899">
      <c r="A899" s="39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7"/>
      <c r="O899" s="37"/>
      <c r="P899" s="37"/>
      <c r="Q899" s="37"/>
      <c r="R899" s="37"/>
      <c r="S899" s="37"/>
      <c r="T899" s="37"/>
      <c r="U899" s="37"/>
      <c r="V899" s="37"/>
    </row>
    <row r="900">
      <c r="A900" s="39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7"/>
      <c r="O900" s="37"/>
      <c r="P900" s="37"/>
      <c r="Q900" s="37"/>
      <c r="R900" s="37"/>
      <c r="S900" s="37"/>
      <c r="T900" s="37"/>
      <c r="U900" s="37"/>
      <c r="V900" s="37"/>
    </row>
    <row r="901">
      <c r="A901" s="39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7"/>
      <c r="O901" s="37"/>
      <c r="P901" s="37"/>
      <c r="Q901" s="37"/>
      <c r="R901" s="37"/>
      <c r="S901" s="37"/>
      <c r="T901" s="37"/>
      <c r="U901" s="37"/>
      <c r="V901" s="37"/>
    </row>
    <row r="902">
      <c r="A902" s="39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7"/>
      <c r="O902" s="37"/>
      <c r="P902" s="37"/>
      <c r="Q902" s="37"/>
      <c r="R902" s="37"/>
      <c r="S902" s="37"/>
      <c r="T902" s="37"/>
      <c r="U902" s="37"/>
      <c r="V902" s="37"/>
    </row>
    <row r="903">
      <c r="A903" s="39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7"/>
      <c r="O903" s="37"/>
      <c r="P903" s="37"/>
      <c r="Q903" s="37"/>
      <c r="R903" s="37"/>
      <c r="S903" s="37"/>
      <c r="T903" s="37"/>
      <c r="U903" s="37"/>
      <c r="V903" s="37"/>
    </row>
    <row r="904">
      <c r="A904" s="39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7"/>
      <c r="O904" s="37"/>
      <c r="P904" s="37"/>
      <c r="Q904" s="37"/>
      <c r="R904" s="37"/>
      <c r="S904" s="37"/>
      <c r="T904" s="37"/>
      <c r="U904" s="37"/>
      <c r="V904" s="37"/>
    </row>
    <row r="905">
      <c r="A905" s="39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7"/>
      <c r="O905" s="37"/>
      <c r="P905" s="37"/>
      <c r="Q905" s="37"/>
      <c r="R905" s="37"/>
      <c r="S905" s="37"/>
      <c r="T905" s="37"/>
      <c r="U905" s="37"/>
      <c r="V905" s="37"/>
    </row>
    <row r="906">
      <c r="A906" s="39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7"/>
      <c r="O906" s="37"/>
      <c r="P906" s="37"/>
      <c r="Q906" s="37"/>
      <c r="R906" s="37"/>
      <c r="S906" s="37"/>
      <c r="T906" s="37"/>
      <c r="U906" s="37"/>
      <c r="V906" s="37"/>
    </row>
    <row r="907">
      <c r="A907" s="39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7"/>
      <c r="O907" s="37"/>
      <c r="P907" s="37"/>
      <c r="Q907" s="37"/>
      <c r="R907" s="37"/>
      <c r="S907" s="37"/>
      <c r="T907" s="37"/>
      <c r="U907" s="37"/>
      <c r="V907" s="37"/>
    </row>
    <row r="908">
      <c r="A908" s="39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7"/>
      <c r="O908" s="37"/>
      <c r="P908" s="37"/>
      <c r="Q908" s="37"/>
      <c r="R908" s="37"/>
      <c r="S908" s="37"/>
      <c r="T908" s="37"/>
      <c r="U908" s="37"/>
      <c r="V908" s="37"/>
    </row>
    <row r="909">
      <c r="A909" s="39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7"/>
      <c r="O909" s="37"/>
      <c r="P909" s="37"/>
      <c r="Q909" s="37"/>
      <c r="R909" s="37"/>
      <c r="S909" s="37"/>
      <c r="T909" s="37"/>
      <c r="U909" s="37"/>
      <c r="V909" s="37"/>
    </row>
    <row r="910">
      <c r="A910" s="39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7"/>
      <c r="O910" s="37"/>
      <c r="P910" s="37"/>
      <c r="Q910" s="37"/>
      <c r="R910" s="37"/>
      <c r="S910" s="37"/>
      <c r="T910" s="37"/>
      <c r="U910" s="37"/>
      <c r="V910" s="37"/>
    </row>
    <row r="911">
      <c r="A911" s="39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7"/>
      <c r="O911" s="37"/>
      <c r="P911" s="37"/>
      <c r="Q911" s="37"/>
      <c r="R911" s="37"/>
      <c r="S911" s="37"/>
      <c r="T911" s="37"/>
      <c r="U911" s="37"/>
      <c r="V911" s="37"/>
    </row>
    <row r="912">
      <c r="A912" s="39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7"/>
      <c r="O912" s="37"/>
      <c r="P912" s="37"/>
      <c r="Q912" s="37"/>
      <c r="R912" s="37"/>
      <c r="S912" s="37"/>
      <c r="T912" s="37"/>
      <c r="U912" s="37"/>
      <c r="V912" s="37"/>
    </row>
    <row r="913">
      <c r="A913" s="39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7"/>
      <c r="O913" s="37"/>
      <c r="P913" s="37"/>
      <c r="Q913" s="37"/>
      <c r="R913" s="37"/>
      <c r="S913" s="37"/>
      <c r="T913" s="37"/>
      <c r="U913" s="37"/>
      <c r="V913" s="37"/>
    </row>
    <row r="914">
      <c r="A914" s="39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7"/>
      <c r="O914" s="37"/>
      <c r="P914" s="37"/>
      <c r="Q914" s="37"/>
      <c r="R914" s="37"/>
      <c r="S914" s="37"/>
      <c r="T914" s="37"/>
      <c r="U914" s="37"/>
      <c r="V914" s="37"/>
    </row>
    <row r="915">
      <c r="A915" s="39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7"/>
      <c r="O915" s="37"/>
      <c r="P915" s="37"/>
      <c r="Q915" s="37"/>
      <c r="R915" s="37"/>
      <c r="S915" s="37"/>
      <c r="T915" s="37"/>
      <c r="U915" s="37"/>
      <c r="V915" s="37"/>
    </row>
    <row r="916">
      <c r="A916" s="39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7"/>
      <c r="O916" s="37"/>
      <c r="P916" s="37"/>
      <c r="Q916" s="37"/>
      <c r="R916" s="37"/>
      <c r="S916" s="37"/>
      <c r="T916" s="37"/>
      <c r="U916" s="37"/>
      <c r="V916" s="37"/>
    </row>
    <row r="917">
      <c r="A917" s="39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7"/>
      <c r="O917" s="37"/>
      <c r="P917" s="37"/>
      <c r="Q917" s="37"/>
      <c r="R917" s="37"/>
      <c r="S917" s="37"/>
      <c r="T917" s="37"/>
      <c r="U917" s="37"/>
      <c r="V917" s="37"/>
    </row>
    <row r="918">
      <c r="A918" s="39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7"/>
      <c r="O918" s="37"/>
      <c r="P918" s="37"/>
      <c r="Q918" s="37"/>
      <c r="R918" s="37"/>
      <c r="S918" s="37"/>
      <c r="T918" s="37"/>
      <c r="U918" s="37"/>
      <c r="V918" s="37"/>
    </row>
    <row r="919">
      <c r="A919" s="39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7"/>
      <c r="O919" s="37"/>
      <c r="P919" s="37"/>
      <c r="Q919" s="37"/>
      <c r="R919" s="37"/>
      <c r="S919" s="37"/>
      <c r="T919" s="37"/>
      <c r="U919" s="37"/>
      <c r="V919" s="37"/>
    </row>
    <row r="920">
      <c r="A920" s="39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7"/>
      <c r="O920" s="37"/>
      <c r="P920" s="37"/>
      <c r="Q920" s="37"/>
      <c r="R920" s="37"/>
      <c r="S920" s="37"/>
      <c r="T920" s="37"/>
      <c r="U920" s="37"/>
      <c r="V920" s="37"/>
    </row>
    <row r="921">
      <c r="A921" s="39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7"/>
      <c r="O921" s="37"/>
      <c r="P921" s="37"/>
      <c r="Q921" s="37"/>
      <c r="R921" s="37"/>
      <c r="S921" s="37"/>
      <c r="T921" s="37"/>
      <c r="U921" s="37"/>
      <c r="V921" s="37"/>
    </row>
    <row r="922">
      <c r="A922" s="39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7"/>
      <c r="O922" s="37"/>
      <c r="P922" s="37"/>
      <c r="Q922" s="37"/>
      <c r="R922" s="37"/>
      <c r="S922" s="37"/>
      <c r="T922" s="37"/>
      <c r="U922" s="37"/>
      <c r="V922" s="37"/>
    </row>
    <row r="923">
      <c r="A923" s="39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7"/>
      <c r="O923" s="37"/>
      <c r="P923" s="37"/>
      <c r="Q923" s="37"/>
      <c r="R923" s="37"/>
      <c r="S923" s="37"/>
      <c r="T923" s="37"/>
      <c r="U923" s="37"/>
      <c r="V923" s="37"/>
    </row>
    <row r="924">
      <c r="A924" s="39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7"/>
      <c r="O924" s="37"/>
      <c r="P924" s="37"/>
      <c r="Q924" s="37"/>
      <c r="R924" s="37"/>
      <c r="S924" s="37"/>
      <c r="T924" s="37"/>
      <c r="U924" s="37"/>
      <c r="V924" s="37"/>
    </row>
    <row r="925">
      <c r="A925" s="39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7"/>
      <c r="O925" s="37"/>
      <c r="P925" s="37"/>
      <c r="Q925" s="37"/>
      <c r="R925" s="37"/>
      <c r="S925" s="37"/>
      <c r="T925" s="37"/>
      <c r="U925" s="37"/>
      <c r="V925" s="37"/>
    </row>
    <row r="926">
      <c r="A926" s="39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7"/>
      <c r="O926" s="37"/>
      <c r="P926" s="37"/>
      <c r="Q926" s="37"/>
      <c r="R926" s="37"/>
      <c r="S926" s="37"/>
      <c r="T926" s="37"/>
      <c r="U926" s="37"/>
      <c r="V926" s="37"/>
    </row>
    <row r="927">
      <c r="A927" s="39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7"/>
      <c r="O927" s="37"/>
      <c r="P927" s="37"/>
      <c r="Q927" s="37"/>
      <c r="R927" s="37"/>
      <c r="S927" s="37"/>
      <c r="T927" s="37"/>
      <c r="U927" s="37"/>
      <c r="V927" s="37"/>
    </row>
    <row r="928">
      <c r="A928" s="39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7"/>
      <c r="O928" s="37"/>
      <c r="P928" s="37"/>
      <c r="Q928" s="37"/>
      <c r="R928" s="37"/>
      <c r="S928" s="37"/>
      <c r="T928" s="37"/>
      <c r="U928" s="37"/>
      <c r="V928" s="37"/>
    </row>
    <row r="929">
      <c r="A929" s="39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7"/>
      <c r="O929" s="37"/>
      <c r="P929" s="37"/>
      <c r="Q929" s="37"/>
      <c r="R929" s="37"/>
      <c r="S929" s="37"/>
      <c r="T929" s="37"/>
      <c r="U929" s="37"/>
      <c r="V929" s="37"/>
    </row>
    <row r="930">
      <c r="A930" s="39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7"/>
      <c r="O930" s="37"/>
      <c r="P930" s="37"/>
      <c r="Q930" s="37"/>
      <c r="R930" s="37"/>
      <c r="S930" s="37"/>
      <c r="T930" s="37"/>
      <c r="U930" s="37"/>
      <c r="V930" s="37"/>
    </row>
    <row r="931">
      <c r="A931" s="39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7"/>
      <c r="O931" s="37"/>
      <c r="P931" s="37"/>
      <c r="Q931" s="37"/>
      <c r="R931" s="37"/>
      <c r="S931" s="37"/>
      <c r="T931" s="37"/>
      <c r="U931" s="37"/>
      <c r="V931" s="37"/>
    </row>
    <row r="932">
      <c r="A932" s="39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7"/>
      <c r="O932" s="37"/>
      <c r="P932" s="37"/>
      <c r="Q932" s="37"/>
      <c r="R932" s="37"/>
      <c r="S932" s="37"/>
      <c r="T932" s="37"/>
      <c r="U932" s="37"/>
      <c r="V932" s="37"/>
    </row>
    <row r="933">
      <c r="A933" s="39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7"/>
      <c r="O933" s="37"/>
      <c r="P933" s="37"/>
      <c r="Q933" s="37"/>
      <c r="R933" s="37"/>
      <c r="S933" s="37"/>
      <c r="T933" s="37"/>
      <c r="U933" s="37"/>
      <c r="V933" s="37"/>
    </row>
    <row r="934">
      <c r="A934" s="39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7"/>
      <c r="O934" s="37"/>
      <c r="P934" s="37"/>
      <c r="Q934" s="37"/>
      <c r="R934" s="37"/>
      <c r="S934" s="37"/>
      <c r="T934" s="37"/>
      <c r="U934" s="37"/>
      <c r="V934" s="37"/>
    </row>
    <row r="935">
      <c r="A935" s="39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7"/>
      <c r="O935" s="37"/>
      <c r="P935" s="37"/>
      <c r="Q935" s="37"/>
      <c r="R935" s="37"/>
      <c r="S935" s="37"/>
      <c r="T935" s="37"/>
      <c r="U935" s="37"/>
      <c r="V935" s="37"/>
    </row>
    <row r="936">
      <c r="A936" s="39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7"/>
      <c r="O936" s="37"/>
      <c r="P936" s="37"/>
      <c r="Q936" s="37"/>
      <c r="R936" s="37"/>
      <c r="S936" s="37"/>
      <c r="T936" s="37"/>
      <c r="U936" s="37"/>
      <c r="V936" s="37"/>
    </row>
    <row r="937">
      <c r="A937" s="39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7"/>
      <c r="O937" s="37"/>
      <c r="P937" s="37"/>
      <c r="Q937" s="37"/>
      <c r="R937" s="37"/>
      <c r="S937" s="37"/>
      <c r="T937" s="37"/>
      <c r="U937" s="37"/>
      <c r="V937" s="37"/>
    </row>
    <row r="938">
      <c r="A938" s="39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7"/>
      <c r="O938" s="37"/>
      <c r="P938" s="37"/>
      <c r="Q938" s="37"/>
      <c r="R938" s="37"/>
      <c r="S938" s="37"/>
      <c r="T938" s="37"/>
      <c r="U938" s="37"/>
      <c r="V938" s="37"/>
    </row>
    <row r="939">
      <c r="A939" s="39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7"/>
      <c r="O939" s="37"/>
      <c r="P939" s="37"/>
      <c r="Q939" s="37"/>
      <c r="R939" s="37"/>
      <c r="S939" s="37"/>
      <c r="T939" s="37"/>
      <c r="U939" s="37"/>
      <c r="V939" s="37"/>
    </row>
    <row r="940">
      <c r="A940" s="39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7"/>
      <c r="O940" s="37"/>
      <c r="P940" s="37"/>
      <c r="Q940" s="37"/>
      <c r="R940" s="37"/>
      <c r="S940" s="37"/>
      <c r="T940" s="37"/>
      <c r="U940" s="37"/>
      <c r="V940" s="37"/>
    </row>
    <row r="941">
      <c r="A941" s="39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7"/>
      <c r="O941" s="37"/>
      <c r="P941" s="37"/>
      <c r="Q941" s="37"/>
      <c r="R941" s="37"/>
      <c r="S941" s="37"/>
      <c r="T941" s="37"/>
      <c r="U941" s="37"/>
      <c r="V941" s="37"/>
    </row>
    <row r="942">
      <c r="A942" s="39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7"/>
      <c r="O942" s="37"/>
      <c r="P942" s="37"/>
      <c r="Q942" s="37"/>
      <c r="R942" s="37"/>
      <c r="S942" s="37"/>
      <c r="T942" s="37"/>
      <c r="U942" s="37"/>
      <c r="V942" s="37"/>
    </row>
    <row r="943">
      <c r="A943" s="39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7"/>
      <c r="O943" s="37"/>
      <c r="P943" s="37"/>
      <c r="Q943" s="37"/>
      <c r="R943" s="37"/>
      <c r="S943" s="37"/>
      <c r="T943" s="37"/>
      <c r="U943" s="37"/>
      <c r="V943" s="37"/>
    </row>
    <row r="944">
      <c r="A944" s="39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7"/>
      <c r="O944" s="37"/>
      <c r="P944" s="37"/>
      <c r="Q944" s="37"/>
      <c r="R944" s="37"/>
      <c r="S944" s="37"/>
      <c r="T944" s="37"/>
      <c r="U944" s="37"/>
      <c r="V944" s="37"/>
    </row>
    <row r="945">
      <c r="A945" s="39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7"/>
      <c r="O945" s="37"/>
      <c r="P945" s="37"/>
      <c r="Q945" s="37"/>
      <c r="R945" s="37"/>
      <c r="S945" s="37"/>
      <c r="T945" s="37"/>
      <c r="U945" s="37"/>
      <c r="V945" s="37"/>
    </row>
    <row r="946">
      <c r="A946" s="39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7"/>
      <c r="O946" s="37"/>
      <c r="P946" s="37"/>
      <c r="Q946" s="37"/>
      <c r="R946" s="37"/>
      <c r="S946" s="37"/>
      <c r="T946" s="37"/>
      <c r="U946" s="37"/>
      <c r="V946" s="37"/>
    </row>
    <row r="947">
      <c r="A947" s="39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7"/>
      <c r="O947" s="37"/>
      <c r="P947" s="37"/>
      <c r="Q947" s="37"/>
      <c r="R947" s="37"/>
      <c r="S947" s="37"/>
      <c r="T947" s="37"/>
      <c r="U947" s="37"/>
      <c r="V947" s="37"/>
    </row>
    <row r="948">
      <c r="A948" s="39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7"/>
      <c r="O948" s="37"/>
      <c r="P948" s="37"/>
      <c r="Q948" s="37"/>
      <c r="R948" s="37"/>
      <c r="S948" s="37"/>
      <c r="T948" s="37"/>
      <c r="U948" s="37"/>
      <c r="V948" s="37"/>
    </row>
    <row r="949">
      <c r="A949" s="39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7"/>
      <c r="O949" s="37"/>
      <c r="P949" s="37"/>
      <c r="Q949" s="37"/>
      <c r="R949" s="37"/>
      <c r="S949" s="37"/>
      <c r="T949" s="37"/>
      <c r="U949" s="37"/>
      <c r="V949" s="37"/>
    </row>
    <row r="950">
      <c r="A950" s="39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7"/>
      <c r="O950" s="37"/>
      <c r="P950" s="37"/>
      <c r="Q950" s="37"/>
      <c r="R950" s="37"/>
      <c r="S950" s="37"/>
      <c r="T950" s="37"/>
      <c r="U950" s="37"/>
      <c r="V950" s="37"/>
    </row>
    <row r="951">
      <c r="A951" s="39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7"/>
      <c r="O951" s="37"/>
      <c r="P951" s="37"/>
      <c r="Q951" s="37"/>
      <c r="R951" s="37"/>
      <c r="S951" s="37"/>
      <c r="T951" s="37"/>
      <c r="U951" s="37"/>
      <c r="V951" s="37"/>
    </row>
    <row r="952">
      <c r="A952" s="39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7"/>
      <c r="O952" s="37"/>
      <c r="P952" s="37"/>
      <c r="Q952" s="37"/>
      <c r="R952" s="37"/>
      <c r="S952" s="37"/>
      <c r="T952" s="37"/>
      <c r="U952" s="37"/>
      <c r="V952" s="37"/>
    </row>
    <row r="953">
      <c r="A953" s="39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7"/>
      <c r="O953" s="37"/>
      <c r="P953" s="37"/>
      <c r="Q953" s="37"/>
      <c r="R953" s="37"/>
      <c r="S953" s="37"/>
      <c r="T953" s="37"/>
      <c r="U953" s="37"/>
      <c r="V953" s="37"/>
    </row>
    <row r="954">
      <c r="A954" s="39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7"/>
      <c r="O954" s="37"/>
      <c r="P954" s="37"/>
      <c r="Q954" s="37"/>
      <c r="R954" s="37"/>
      <c r="S954" s="37"/>
      <c r="T954" s="37"/>
      <c r="U954" s="37"/>
      <c r="V954" s="37"/>
    </row>
    <row r="955">
      <c r="A955" s="39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7"/>
      <c r="O955" s="37"/>
      <c r="P955" s="37"/>
      <c r="Q955" s="37"/>
      <c r="R955" s="37"/>
      <c r="S955" s="37"/>
      <c r="T955" s="37"/>
      <c r="U955" s="37"/>
      <c r="V955" s="37"/>
    </row>
    <row r="956">
      <c r="A956" s="39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7"/>
      <c r="O956" s="37"/>
      <c r="P956" s="37"/>
      <c r="Q956" s="37"/>
      <c r="R956" s="37"/>
      <c r="S956" s="37"/>
      <c r="T956" s="37"/>
      <c r="U956" s="37"/>
      <c r="V956" s="37"/>
    </row>
    <row r="957">
      <c r="A957" s="39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7"/>
      <c r="O957" s="37"/>
      <c r="P957" s="37"/>
      <c r="Q957" s="37"/>
      <c r="R957" s="37"/>
      <c r="S957" s="37"/>
      <c r="T957" s="37"/>
      <c r="U957" s="37"/>
      <c r="V957" s="37"/>
    </row>
    <row r="958">
      <c r="A958" s="39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7"/>
      <c r="O958" s="37"/>
      <c r="P958" s="37"/>
      <c r="Q958" s="37"/>
      <c r="R958" s="37"/>
      <c r="S958" s="37"/>
      <c r="T958" s="37"/>
      <c r="U958" s="37"/>
      <c r="V958" s="37"/>
    </row>
    <row r="959">
      <c r="A959" s="39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7"/>
      <c r="O959" s="37"/>
      <c r="P959" s="37"/>
      <c r="Q959" s="37"/>
      <c r="R959" s="37"/>
      <c r="S959" s="37"/>
      <c r="T959" s="37"/>
      <c r="U959" s="37"/>
      <c r="V959" s="37"/>
    </row>
    <row r="960">
      <c r="A960" s="39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7"/>
      <c r="O960" s="37"/>
      <c r="P960" s="37"/>
      <c r="Q960" s="37"/>
      <c r="R960" s="37"/>
      <c r="S960" s="37"/>
      <c r="T960" s="37"/>
      <c r="U960" s="37"/>
      <c r="V960" s="37"/>
    </row>
    <row r="961">
      <c r="A961" s="39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7"/>
      <c r="O961" s="37"/>
      <c r="P961" s="37"/>
      <c r="Q961" s="37"/>
      <c r="R961" s="37"/>
      <c r="S961" s="37"/>
      <c r="T961" s="37"/>
      <c r="U961" s="37"/>
      <c r="V961" s="37"/>
    </row>
    <row r="962">
      <c r="A962" s="39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7"/>
      <c r="O962" s="37"/>
      <c r="P962" s="37"/>
      <c r="Q962" s="37"/>
      <c r="R962" s="37"/>
      <c r="S962" s="37"/>
      <c r="T962" s="37"/>
      <c r="U962" s="37"/>
      <c r="V962" s="37"/>
    </row>
    <row r="963">
      <c r="A963" s="39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7"/>
      <c r="O963" s="37"/>
      <c r="P963" s="37"/>
      <c r="Q963" s="37"/>
      <c r="R963" s="37"/>
      <c r="S963" s="37"/>
      <c r="T963" s="37"/>
      <c r="U963" s="37"/>
      <c r="V963" s="37"/>
    </row>
    <row r="964">
      <c r="A964" s="39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7"/>
      <c r="O964" s="37"/>
      <c r="P964" s="37"/>
      <c r="Q964" s="37"/>
      <c r="R964" s="37"/>
      <c r="S964" s="37"/>
      <c r="T964" s="37"/>
      <c r="U964" s="37"/>
      <c r="V964" s="37"/>
    </row>
    <row r="965">
      <c r="A965" s="39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7"/>
      <c r="O965" s="37"/>
      <c r="P965" s="37"/>
      <c r="Q965" s="37"/>
      <c r="R965" s="37"/>
      <c r="S965" s="37"/>
      <c r="T965" s="37"/>
      <c r="U965" s="37"/>
      <c r="V965" s="37"/>
    </row>
    <row r="966">
      <c r="A966" s="39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7"/>
      <c r="O966" s="37"/>
      <c r="P966" s="37"/>
      <c r="Q966" s="37"/>
      <c r="R966" s="37"/>
      <c r="S966" s="37"/>
      <c r="T966" s="37"/>
      <c r="U966" s="37"/>
      <c r="V966" s="37"/>
    </row>
    <row r="967">
      <c r="A967" s="39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7"/>
      <c r="O967" s="37"/>
      <c r="P967" s="37"/>
      <c r="Q967" s="37"/>
      <c r="R967" s="37"/>
      <c r="S967" s="37"/>
      <c r="T967" s="37"/>
      <c r="U967" s="37"/>
      <c r="V967" s="37"/>
    </row>
    <row r="968">
      <c r="A968" s="39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7"/>
      <c r="O968" s="37"/>
      <c r="P968" s="37"/>
      <c r="Q968" s="37"/>
      <c r="R968" s="37"/>
      <c r="S968" s="37"/>
      <c r="T968" s="37"/>
      <c r="U968" s="37"/>
      <c r="V968" s="37"/>
    </row>
    <row r="969">
      <c r="A969" s="39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7"/>
      <c r="O969" s="37"/>
      <c r="P969" s="37"/>
      <c r="Q969" s="37"/>
      <c r="R969" s="37"/>
      <c r="S969" s="37"/>
      <c r="T969" s="37"/>
      <c r="U969" s="37"/>
      <c r="V969" s="37"/>
    </row>
    <row r="970">
      <c r="A970" s="39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7"/>
      <c r="O970" s="37"/>
      <c r="P970" s="37"/>
      <c r="Q970" s="37"/>
      <c r="R970" s="37"/>
      <c r="S970" s="37"/>
      <c r="T970" s="37"/>
      <c r="U970" s="37"/>
      <c r="V970" s="37"/>
    </row>
    <row r="971">
      <c r="A971" s="39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7"/>
      <c r="O971" s="37"/>
      <c r="P971" s="37"/>
      <c r="Q971" s="37"/>
      <c r="R971" s="37"/>
      <c r="S971" s="37"/>
      <c r="T971" s="37"/>
      <c r="U971" s="37"/>
      <c r="V971" s="37"/>
    </row>
    <row r="972">
      <c r="A972" s="39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7"/>
      <c r="O972" s="37"/>
      <c r="P972" s="37"/>
      <c r="Q972" s="37"/>
      <c r="R972" s="37"/>
      <c r="S972" s="37"/>
      <c r="T972" s="37"/>
      <c r="U972" s="37"/>
      <c r="V972" s="37"/>
    </row>
    <row r="973">
      <c r="A973" s="39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7"/>
      <c r="O973" s="37"/>
      <c r="P973" s="37"/>
      <c r="Q973" s="37"/>
      <c r="R973" s="37"/>
      <c r="S973" s="37"/>
      <c r="T973" s="37"/>
      <c r="U973" s="37"/>
      <c r="V973" s="37"/>
    </row>
    <row r="974">
      <c r="A974" s="39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7"/>
      <c r="O974" s="37"/>
      <c r="P974" s="37"/>
      <c r="Q974" s="37"/>
      <c r="R974" s="37"/>
      <c r="S974" s="37"/>
      <c r="T974" s="37"/>
      <c r="U974" s="37"/>
      <c r="V974" s="37"/>
    </row>
    <row r="975">
      <c r="A975" s="39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7"/>
      <c r="O975" s="37"/>
      <c r="P975" s="37"/>
      <c r="Q975" s="37"/>
      <c r="R975" s="37"/>
      <c r="S975" s="37"/>
      <c r="T975" s="37"/>
      <c r="U975" s="37"/>
      <c r="V975" s="37"/>
    </row>
    <row r="976">
      <c r="A976" s="39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7"/>
      <c r="O976" s="37"/>
      <c r="P976" s="37"/>
      <c r="Q976" s="37"/>
      <c r="R976" s="37"/>
      <c r="S976" s="37"/>
      <c r="T976" s="37"/>
      <c r="U976" s="37"/>
      <c r="V976" s="37"/>
    </row>
    <row r="977">
      <c r="A977" s="39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7"/>
      <c r="O977" s="37"/>
      <c r="P977" s="37"/>
      <c r="Q977" s="37"/>
      <c r="R977" s="37"/>
      <c r="S977" s="37"/>
      <c r="T977" s="37"/>
      <c r="U977" s="37"/>
      <c r="V977" s="37"/>
    </row>
    <row r="978">
      <c r="A978" s="39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7"/>
      <c r="O978" s="37"/>
      <c r="P978" s="37"/>
      <c r="Q978" s="37"/>
      <c r="R978" s="37"/>
      <c r="S978" s="37"/>
      <c r="T978" s="37"/>
      <c r="U978" s="37"/>
      <c r="V978" s="37"/>
    </row>
    <row r="979">
      <c r="A979" s="39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7"/>
      <c r="O979" s="37"/>
      <c r="P979" s="37"/>
      <c r="Q979" s="37"/>
      <c r="R979" s="37"/>
      <c r="S979" s="37"/>
      <c r="T979" s="37"/>
      <c r="U979" s="37"/>
      <c r="V979" s="37"/>
    </row>
    <row r="980">
      <c r="A980" s="39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7"/>
      <c r="O980" s="37"/>
      <c r="P980" s="37"/>
      <c r="Q980" s="37"/>
      <c r="R980" s="37"/>
      <c r="S980" s="37"/>
      <c r="T980" s="37"/>
      <c r="U980" s="37"/>
      <c r="V980" s="37"/>
    </row>
    <row r="981">
      <c r="A981" s="39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7"/>
      <c r="O981" s="37"/>
      <c r="P981" s="37"/>
      <c r="Q981" s="37"/>
      <c r="R981" s="37"/>
      <c r="S981" s="37"/>
      <c r="T981" s="37"/>
      <c r="U981" s="37"/>
      <c r="V981" s="37"/>
    </row>
    <row r="982">
      <c r="A982" s="39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7"/>
      <c r="O982" s="37"/>
      <c r="P982" s="37"/>
      <c r="Q982" s="37"/>
      <c r="R982" s="37"/>
      <c r="S982" s="37"/>
      <c r="T982" s="37"/>
      <c r="U982" s="37"/>
      <c r="V982" s="37"/>
    </row>
    <row r="983">
      <c r="A983" s="39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7"/>
      <c r="O983" s="37"/>
      <c r="P983" s="37"/>
      <c r="Q983" s="37"/>
      <c r="R983" s="37"/>
      <c r="S983" s="37"/>
      <c r="T983" s="37"/>
      <c r="U983" s="37"/>
      <c r="V983" s="37"/>
    </row>
    <row r="984">
      <c r="A984" s="39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7"/>
      <c r="O984" s="37"/>
      <c r="P984" s="37"/>
      <c r="Q984" s="37"/>
      <c r="R984" s="37"/>
      <c r="S984" s="37"/>
      <c r="T984" s="37"/>
      <c r="U984" s="37"/>
      <c r="V984" s="37"/>
    </row>
    <row r="985">
      <c r="A985" s="39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7"/>
      <c r="O985" s="37"/>
      <c r="P985" s="37"/>
      <c r="Q985" s="37"/>
      <c r="R985" s="37"/>
      <c r="S985" s="37"/>
      <c r="T985" s="37"/>
      <c r="U985" s="37"/>
      <c r="V985" s="37"/>
    </row>
    <row r="986">
      <c r="A986" s="39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7"/>
      <c r="O986" s="37"/>
      <c r="P986" s="37"/>
      <c r="Q986" s="37"/>
      <c r="R986" s="37"/>
      <c r="S986" s="37"/>
      <c r="T986" s="37"/>
      <c r="U986" s="37"/>
      <c r="V986" s="37"/>
    </row>
    <row r="987">
      <c r="A987" s="39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7"/>
      <c r="O987" s="37"/>
      <c r="P987" s="37"/>
      <c r="Q987" s="37"/>
      <c r="R987" s="37"/>
      <c r="S987" s="37"/>
      <c r="T987" s="37"/>
      <c r="U987" s="37"/>
      <c r="V987" s="37"/>
    </row>
    <row r="988">
      <c r="A988" s="39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7"/>
      <c r="O988" s="37"/>
      <c r="P988" s="37"/>
      <c r="Q988" s="37"/>
      <c r="R988" s="37"/>
      <c r="S988" s="37"/>
      <c r="T988" s="37"/>
      <c r="U988" s="37"/>
      <c r="V988" s="37"/>
    </row>
    <row r="989">
      <c r="A989" s="39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7"/>
      <c r="O989" s="37"/>
      <c r="P989" s="37"/>
      <c r="Q989" s="37"/>
      <c r="R989" s="37"/>
      <c r="S989" s="37"/>
      <c r="T989" s="37"/>
      <c r="U989" s="37"/>
      <c r="V989" s="37"/>
    </row>
    <row r="990">
      <c r="A990" s="39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7"/>
      <c r="O990" s="37"/>
      <c r="P990" s="37"/>
      <c r="Q990" s="37"/>
      <c r="R990" s="37"/>
      <c r="S990" s="37"/>
      <c r="T990" s="37"/>
      <c r="U990" s="37"/>
      <c r="V990" s="37"/>
    </row>
    <row r="991">
      <c r="A991" s="39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7"/>
      <c r="O991" s="37"/>
      <c r="P991" s="37"/>
      <c r="Q991" s="37"/>
      <c r="R991" s="37"/>
      <c r="S991" s="37"/>
      <c r="T991" s="37"/>
      <c r="U991" s="37"/>
      <c r="V991" s="37"/>
    </row>
    <row r="992">
      <c r="A992" s="39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7"/>
      <c r="O992" s="37"/>
      <c r="P992" s="37"/>
      <c r="Q992" s="37"/>
      <c r="R992" s="37"/>
      <c r="S992" s="37"/>
      <c r="T992" s="37"/>
      <c r="U992" s="37"/>
      <c r="V992" s="37"/>
    </row>
    <row r="993">
      <c r="A993" s="39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7"/>
      <c r="O993" s="37"/>
      <c r="P993" s="37"/>
      <c r="Q993" s="37"/>
      <c r="R993" s="37"/>
      <c r="S993" s="37"/>
      <c r="T993" s="37"/>
      <c r="U993" s="37"/>
      <c r="V993" s="37"/>
    </row>
    <row r="994">
      <c r="A994" s="39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7"/>
      <c r="O994" s="37"/>
      <c r="P994" s="37"/>
      <c r="Q994" s="37"/>
      <c r="R994" s="37"/>
      <c r="S994" s="37"/>
      <c r="T994" s="37"/>
      <c r="U994" s="37"/>
      <c r="V994" s="37"/>
    </row>
    <row r="995">
      <c r="A995" s="39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7"/>
      <c r="O995" s="37"/>
      <c r="P995" s="37"/>
      <c r="Q995" s="37"/>
      <c r="R995" s="37"/>
      <c r="S995" s="37"/>
      <c r="T995" s="37"/>
      <c r="U995" s="37"/>
      <c r="V995" s="37"/>
    </row>
    <row r="996">
      <c r="A996" s="39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7"/>
      <c r="O996" s="37"/>
      <c r="P996" s="37"/>
      <c r="Q996" s="37"/>
      <c r="R996" s="37"/>
      <c r="S996" s="37"/>
      <c r="T996" s="37"/>
      <c r="U996" s="37"/>
      <c r="V996" s="37"/>
    </row>
    <row r="997">
      <c r="A997" s="39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7"/>
      <c r="O997" s="37"/>
      <c r="P997" s="37"/>
      <c r="Q997" s="37"/>
      <c r="R997" s="37"/>
      <c r="S997" s="37"/>
      <c r="T997" s="37"/>
      <c r="U997" s="37"/>
      <c r="V997" s="37"/>
    </row>
    <row r="998">
      <c r="A998" s="39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7"/>
      <c r="O998" s="37"/>
      <c r="P998" s="37"/>
      <c r="Q998" s="37"/>
      <c r="R998" s="37"/>
      <c r="S998" s="37"/>
      <c r="T998" s="37"/>
      <c r="U998" s="37"/>
      <c r="V998" s="37"/>
    </row>
    <row r="999">
      <c r="A999" s="39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7"/>
      <c r="O999" s="37"/>
      <c r="P999" s="37"/>
      <c r="Q999" s="37"/>
      <c r="R999" s="37"/>
      <c r="S999" s="37"/>
      <c r="T999" s="37"/>
      <c r="U999" s="37"/>
      <c r="V999" s="37"/>
    </row>
    <row r="1000">
      <c r="A1000" s="39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7"/>
      <c r="O1000" s="37"/>
      <c r="P1000" s="37"/>
      <c r="Q1000" s="37"/>
      <c r="R1000" s="37"/>
      <c r="S1000" s="37"/>
      <c r="T1000" s="37"/>
      <c r="U1000" s="37"/>
      <c r="V1000" s="37"/>
    </row>
  </sheetData>
  <mergeCells count="24">
    <mergeCell ref="P2:Q2"/>
    <mergeCell ref="P4:Q4"/>
    <mergeCell ref="P6:Q6"/>
    <mergeCell ref="P7:Q7"/>
    <mergeCell ref="P8:Q8"/>
    <mergeCell ref="P9:Q9"/>
    <mergeCell ref="P10:Q10"/>
    <mergeCell ref="P11:Q11"/>
    <mergeCell ref="P12:Q12"/>
    <mergeCell ref="P13:Q13"/>
    <mergeCell ref="P15:Q15"/>
    <mergeCell ref="P16:Q16"/>
    <mergeCell ref="P17:Q17"/>
    <mergeCell ref="P19:Q19"/>
    <mergeCell ref="P28:Q28"/>
    <mergeCell ref="P29:Q29"/>
    <mergeCell ref="P31:Q31"/>
    <mergeCell ref="P20:Q20"/>
    <mergeCell ref="P21:Q21"/>
    <mergeCell ref="P22:Q22"/>
    <mergeCell ref="P23:Q23"/>
    <mergeCell ref="P24:Q24"/>
    <mergeCell ref="P26:Q26"/>
    <mergeCell ref="P27:Q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8.75"/>
    <col customWidth="1" min="3" max="3" width="9.75"/>
    <col customWidth="1" min="5" max="5" width="8.25"/>
    <col customWidth="1" min="6" max="6" width="17.63"/>
    <col customWidth="1" min="7" max="7" width="10.75"/>
    <col customWidth="1" min="8" max="9" width="11.88"/>
    <col customWidth="1" min="10" max="11" width="11.38"/>
    <col customWidth="1" min="12" max="12" width="18.75"/>
    <col customWidth="1" min="13" max="13" width="10.88"/>
    <col customWidth="1" min="37" max="37" width="29.75"/>
    <col customWidth="1" min="39" max="39" width="19.0"/>
    <col customWidth="1" min="40" max="40" width="20.13"/>
  </cols>
  <sheetData>
    <row r="1">
      <c r="A1" s="40" t="s">
        <v>15</v>
      </c>
      <c r="B1" s="40" t="s">
        <v>70</v>
      </c>
      <c r="C1" s="40" t="s">
        <v>71</v>
      </c>
      <c r="D1" s="41" t="s">
        <v>72</v>
      </c>
      <c r="E1" s="42" t="s">
        <v>73</v>
      </c>
      <c r="F1" s="43" t="s">
        <v>74</v>
      </c>
      <c r="G1" s="42" t="s">
        <v>75</v>
      </c>
      <c r="H1" s="44" t="s">
        <v>76</v>
      </c>
      <c r="I1" s="42" t="s">
        <v>77</v>
      </c>
      <c r="J1" s="44" t="s">
        <v>78</v>
      </c>
      <c r="K1" s="45" t="s">
        <v>79</v>
      </c>
      <c r="L1" s="44" t="s">
        <v>80</v>
      </c>
      <c r="M1" s="42" t="s">
        <v>81</v>
      </c>
      <c r="N1" s="46" t="s">
        <v>82</v>
      </c>
      <c r="O1" s="47" t="s">
        <v>83</v>
      </c>
      <c r="P1" s="48" t="s">
        <v>84</v>
      </c>
      <c r="Q1" s="48" t="s">
        <v>85</v>
      </c>
      <c r="R1" s="48" t="s">
        <v>86</v>
      </c>
      <c r="S1" s="48" t="s">
        <v>87</v>
      </c>
      <c r="T1" s="48" t="s">
        <v>88</v>
      </c>
      <c r="U1" s="48" t="s">
        <v>89</v>
      </c>
      <c r="V1" s="48" t="s">
        <v>90</v>
      </c>
      <c r="W1" s="48" t="s">
        <v>91</v>
      </c>
      <c r="X1" s="48" t="s">
        <v>92</v>
      </c>
      <c r="Y1" s="48" t="s">
        <v>93</v>
      </c>
      <c r="Z1" s="49" t="s">
        <v>94</v>
      </c>
      <c r="AA1" s="49" t="s">
        <v>95</v>
      </c>
      <c r="AB1" s="49" t="s">
        <v>96</v>
      </c>
      <c r="AC1" s="49" t="s">
        <v>97</v>
      </c>
      <c r="AD1" s="49" t="s">
        <v>98</v>
      </c>
      <c r="AE1" s="49" t="s">
        <v>99</v>
      </c>
      <c r="AF1" s="49" t="s">
        <v>100</v>
      </c>
      <c r="AG1" s="49" t="s">
        <v>101</v>
      </c>
      <c r="AH1" s="49" t="s">
        <v>102</v>
      </c>
      <c r="AI1" s="49" t="s">
        <v>103</v>
      </c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</row>
    <row r="2">
      <c r="A2" s="51" t="s">
        <v>48</v>
      </c>
      <c r="B2" s="51" t="s">
        <v>104</v>
      </c>
      <c r="C2" s="24">
        <v>1997.0</v>
      </c>
      <c r="D2" s="24">
        <v>0.07143</v>
      </c>
      <c r="E2" s="52">
        <v>23.5</v>
      </c>
      <c r="F2" s="53">
        <f t="shared" ref="F2:F528" si="1">(E2*D2)*AE2</f>
        <v>2.05796973</v>
      </c>
      <c r="G2" s="52">
        <v>7.5</v>
      </c>
      <c r="H2" s="54">
        <f t="shared" ref="H2:H528" si="2">(G2*D2)*AI2</f>
        <v>0.6550454221</v>
      </c>
      <c r="I2" s="52">
        <v>4.1</v>
      </c>
      <c r="J2" s="54">
        <f t="shared" ref="J2:J528" si="3">(I2*D2)*AF2</f>
        <v>0.523733053</v>
      </c>
      <c r="K2" s="55">
        <v>3.098684211</v>
      </c>
      <c r="L2" s="54">
        <f t="shared" ref="L2:L528" si="4">iferror((K2*D2)*AG2,"No Stat")</f>
        <v>0.2591286656</v>
      </c>
      <c r="M2" s="55">
        <v>0.473684211</v>
      </c>
      <c r="N2" s="56">
        <f t="shared" ref="N2:N528" si="5">iferror((M2*D2)*AH2,"No Stat")</f>
        <v>0.03866886739</v>
      </c>
      <c r="O2" s="57">
        <v>0.513</v>
      </c>
      <c r="P2" s="24">
        <v>27457.0</v>
      </c>
      <c r="Q2" s="24">
        <v>3839.0</v>
      </c>
      <c r="R2" s="24">
        <v>6488.0</v>
      </c>
      <c r="S2" s="24">
        <v>185.0</v>
      </c>
      <c r="T2" s="24">
        <v>2213.0</v>
      </c>
      <c r="U2" s="24">
        <v>25.8055</v>
      </c>
      <c r="V2" s="24">
        <v>3.6081</v>
      </c>
      <c r="W2" s="24">
        <v>6.0977</v>
      </c>
      <c r="X2" s="24">
        <v>0.1739</v>
      </c>
      <c r="Y2" s="24">
        <v>2.0799</v>
      </c>
      <c r="Z2" s="24">
        <v>96.9</v>
      </c>
      <c r="AA2" s="24">
        <v>22.0</v>
      </c>
      <c r="AB2" s="24">
        <v>4.9</v>
      </c>
      <c r="AC2" s="24">
        <v>41.1</v>
      </c>
      <c r="AD2" s="24">
        <v>8.2</v>
      </c>
      <c r="AE2" s="24">
        <v>1.226</v>
      </c>
      <c r="AF2" s="24">
        <v>1.788321</v>
      </c>
      <c r="AG2" s="24">
        <v>1.170732</v>
      </c>
      <c r="AH2" s="24">
        <v>1.142857</v>
      </c>
      <c r="AI2" s="24">
        <v>1.222727</v>
      </c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</row>
    <row r="3">
      <c r="A3" s="51" t="s">
        <v>48</v>
      </c>
      <c r="B3" s="51" t="s">
        <v>104</v>
      </c>
      <c r="C3" s="24">
        <v>1998.0</v>
      </c>
      <c r="D3" s="24">
        <v>0.07519</v>
      </c>
      <c r="E3" s="52">
        <v>22.0</v>
      </c>
      <c r="F3" s="53">
        <f t="shared" si="1"/>
        <v>2.055649486</v>
      </c>
      <c r="G3" s="52">
        <v>6.2</v>
      </c>
      <c r="H3" s="54">
        <f t="shared" si="2"/>
        <v>0.5700084274</v>
      </c>
      <c r="I3" s="52">
        <v>3.7</v>
      </c>
      <c r="J3" s="54">
        <f t="shared" si="3"/>
        <v>0.4927208821</v>
      </c>
      <c r="K3" s="55">
        <v>3.3</v>
      </c>
      <c r="L3" s="54">
        <f t="shared" si="4"/>
        <v>0.2835736788</v>
      </c>
      <c r="M3" s="55">
        <v>0.46875</v>
      </c>
      <c r="N3" s="56">
        <f t="shared" si="5"/>
        <v>0.03870072769</v>
      </c>
      <c r="O3" s="57">
        <v>0.535</v>
      </c>
      <c r="P3" s="24">
        <v>27457.0</v>
      </c>
      <c r="Q3" s="24">
        <v>3839.0</v>
      </c>
      <c r="R3" s="24">
        <v>6488.0</v>
      </c>
      <c r="S3" s="24">
        <v>185.0</v>
      </c>
      <c r="T3" s="24">
        <v>2213.0</v>
      </c>
      <c r="U3" s="24">
        <v>25.8055</v>
      </c>
      <c r="V3" s="24">
        <v>3.6081</v>
      </c>
      <c r="W3" s="24">
        <v>6.0977</v>
      </c>
      <c r="X3" s="24">
        <v>0.1739</v>
      </c>
      <c r="Y3" s="24">
        <v>2.0799</v>
      </c>
      <c r="Z3" s="24">
        <v>95.6</v>
      </c>
      <c r="AA3" s="24">
        <v>22.0</v>
      </c>
      <c r="AB3" s="24">
        <v>5.1</v>
      </c>
      <c r="AC3" s="24">
        <v>41.5</v>
      </c>
      <c r="AD3" s="24">
        <v>8.4</v>
      </c>
      <c r="AE3" s="24">
        <v>1.2427</v>
      </c>
      <c r="AF3" s="24">
        <v>1.771084</v>
      </c>
      <c r="AG3" s="24">
        <v>1.142857</v>
      </c>
      <c r="AH3" s="24">
        <v>1.098039</v>
      </c>
      <c r="AI3" s="24">
        <v>1.222727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</row>
    <row r="4">
      <c r="A4" s="51" t="s">
        <v>48</v>
      </c>
      <c r="B4" s="51" t="s">
        <v>104</v>
      </c>
      <c r="C4" s="24">
        <v>1999.0</v>
      </c>
      <c r="D4" s="24">
        <v>0.04511</v>
      </c>
      <c r="E4" s="52">
        <v>26.8</v>
      </c>
      <c r="F4" s="53">
        <f t="shared" si="1"/>
        <v>1.567884661</v>
      </c>
      <c r="G4" s="52">
        <v>4.6</v>
      </c>
      <c r="H4" s="54">
        <f t="shared" si="2"/>
        <v>0.2696575746</v>
      </c>
      <c r="I4" s="52">
        <v>4.9</v>
      </c>
      <c r="J4" s="54">
        <f t="shared" si="3"/>
        <v>0.389601131</v>
      </c>
      <c r="K4" s="55">
        <v>3.4375</v>
      </c>
      <c r="L4" s="54">
        <f t="shared" si="4"/>
        <v>0.177217835</v>
      </c>
      <c r="M4" s="55">
        <v>0.21875</v>
      </c>
      <c r="N4" s="56">
        <f t="shared" si="5"/>
        <v>0.01105195</v>
      </c>
      <c r="O4" s="57">
        <v>0.508</v>
      </c>
      <c r="P4" s="24">
        <v>27457.0</v>
      </c>
      <c r="Q4" s="24">
        <v>3839.0</v>
      </c>
      <c r="R4" s="24">
        <v>6488.0</v>
      </c>
      <c r="S4" s="24">
        <v>185.0</v>
      </c>
      <c r="T4" s="24">
        <v>2213.0</v>
      </c>
      <c r="U4" s="24">
        <v>25.8055</v>
      </c>
      <c r="V4" s="24">
        <v>3.6081</v>
      </c>
      <c r="W4" s="24">
        <v>6.0977</v>
      </c>
      <c r="X4" s="24">
        <v>0.1739</v>
      </c>
      <c r="Y4" s="24">
        <v>2.0799</v>
      </c>
      <c r="Z4" s="24">
        <v>91.6</v>
      </c>
      <c r="AA4" s="24">
        <v>20.7</v>
      </c>
      <c r="AB4" s="24">
        <v>5.0</v>
      </c>
      <c r="AC4" s="24">
        <v>41.7</v>
      </c>
      <c r="AD4" s="24">
        <v>8.4</v>
      </c>
      <c r="AE4" s="24">
        <v>1.2969</v>
      </c>
      <c r="AF4" s="24">
        <v>1.76259</v>
      </c>
      <c r="AG4" s="24">
        <v>1.142857</v>
      </c>
      <c r="AH4" s="24">
        <v>1.12</v>
      </c>
      <c r="AI4" s="24">
        <v>1.299517</v>
      </c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</row>
    <row r="5">
      <c r="A5" s="51" t="s">
        <v>48</v>
      </c>
      <c r="B5" s="51" t="s">
        <v>104</v>
      </c>
      <c r="C5" s="24">
        <v>2000.0</v>
      </c>
      <c r="D5" s="24">
        <v>0.06579</v>
      </c>
      <c r="E5" s="52">
        <v>28.4</v>
      </c>
      <c r="F5" s="53">
        <f t="shared" si="1"/>
        <v>2.276689266</v>
      </c>
      <c r="G5" s="52">
        <v>4.7</v>
      </c>
      <c r="H5" s="54">
        <f t="shared" si="2"/>
        <v>0.3729968392</v>
      </c>
      <c r="I5" s="52">
        <v>3.8</v>
      </c>
      <c r="J5" s="54">
        <f t="shared" si="3"/>
        <v>0.4283251766</v>
      </c>
      <c r="K5" s="55">
        <v>3.085714286</v>
      </c>
      <c r="L5" s="54">
        <f t="shared" si="4"/>
        <v>0.2466946803</v>
      </c>
      <c r="M5" s="55">
        <v>0.107142857</v>
      </c>
      <c r="N5" s="56">
        <f t="shared" si="5"/>
        <v>0.007591153294</v>
      </c>
      <c r="O5" s="57">
        <v>0.496</v>
      </c>
      <c r="P5" s="24">
        <v>27457.0</v>
      </c>
      <c r="Q5" s="24">
        <v>3839.0</v>
      </c>
      <c r="R5" s="24">
        <v>6488.0</v>
      </c>
      <c r="S5" s="24">
        <v>185.0</v>
      </c>
      <c r="T5" s="24">
        <v>2213.0</v>
      </c>
      <c r="U5" s="24">
        <v>25.8055</v>
      </c>
      <c r="V5" s="24">
        <v>3.6081</v>
      </c>
      <c r="W5" s="24">
        <v>6.0977</v>
      </c>
      <c r="X5" s="24">
        <v>0.1739</v>
      </c>
      <c r="Y5" s="24">
        <v>2.0799</v>
      </c>
      <c r="Z5" s="24">
        <v>97.5</v>
      </c>
      <c r="AA5" s="24">
        <v>22.3</v>
      </c>
      <c r="AB5" s="24">
        <v>5.2</v>
      </c>
      <c r="AC5" s="24">
        <v>42.9</v>
      </c>
      <c r="AD5" s="24">
        <v>7.9</v>
      </c>
      <c r="AE5" s="24">
        <v>1.2185</v>
      </c>
      <c r="AF5" s="24">
        <v>1.713287</v>
      </c>
      <c r="AG5" s="24">
        <v>1.21519</v>
      </c>
      <c r="AH5" s="24">
        <v>1.076923</v>
      </c>
      <c r="AI5" s="24">
        <v>1.206278</v>
      </c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</row>
    <row r="6">
      <c r="A6" s="51" t="s">
        <v>48</v>
      </c>
      <c r="B6" s="51" t="s">
        <v>104</v>
      </c>
      <c r="C6" s="24">
        <v>2001.0</v>
      </c>
      <c r="D6" s="24">
        <v>0.06673</v>
      </c>
      <c r="E6" s="52">
        <v>31.1</v>
      </c>
      <c r="F6" s="53">
        <f t="shared" si="1"/>
        <v>2.60076972</v>
      </c>
      <c r="G6" s="52">
        <v>4.6</v>
      </c>
      <c r="H6" s="54">
        <f t="shared" si="2"/>
        <v>0.3787692893</v>
      </c>
      <c r="I6" s="52">
        <v>3.8</v>
      </c>
      <c r="J6" s="54">
        <f t="shared" si="3"/>
        <v>0.4385339185</v>
      </c>
      <c r="K6" s="55">
        <v>3.76056338</v>
      </c>
      <c r="L6" s="54">
        <f t="shared" si="4"/>
        <v>0.3088521197</v>
      </c>
      <c r="M6" s="55">
        <v>0.422535211</v>
      </c>
      <c r="N6" s="56">
        <f t="shared" si="5"/>
        <v>0.02979176826</v>
      </c>
      <c r="O6" s="57">
        <v>0.518</v>
      </c>
      <c r="P6" s="24">
        <v>27457.0</v>
      </c>
      <c r="Q6" s="24">
        <v>3839.0</v>
      </c>
      <c r="R6" s="24">
        <v>6488.0</v>
      </c>
      <c r="S6" s="24">
        <v>185.0</v>
      </c>
      <c r="T6" s="24">
        <v>2213.0</v>
      </c>
      <c r="U6" s="24">
        <v>25.8055</v>
      </c>
      <c r="V6" s="24">
        <v>3.6081</v>
      </c>
      <c r="W6" s="24">
        <v>6.0977</v>
      </c>
      <c r="X6" s="24">
        <v>0.1739</v>
      </c>
      <c r="Y6" s="24">
        <v>2.0799</v>
      </c>
      <c r="Z6" s="24">
        <v>94.8</v>
      </c>
      <c r="AA6" s="24">
        <v>21.8</v>
      </c>
      <c r="AB6" s="24">
        <v>5.3</v>
      </c>
      <c r="AC6" s="24">
        <v>42.5</v>
      </c>
      <c r="AD6" s="24">
        <v>7.8</v>
      </c>
      <c r="AE6" s="24">
        <v>1.2532</v>
      </c>
      <c r="AF6" s="24">
        <v>1.729412</v>
      </c>
      <c r="AG6" s="24">
        <v>1.230769</v>
      </c>
      <c r="AH6" s="24">
        <v>1.056604</v>
      </c>
      <c r="AI6" s="24">
        <v>1.233945</v>
      </c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</row>
    <row r="7">
      <c r="A7" s="51" t="s">
        <v>48</v>
      </c>
      <c r="B7" s="51" t="s">
        <v>104</v>
      </c>
      <c r="C7" s="24">
        <v>2002.0</v>
      </c>
      <c r="D7" s="24">
        <v>0.05639</v>
      </c>
      <c r="E7" s="52">
        <v>31.4</v>
      </c>
      <c r="F7" s="53">
        <f t="shared" si="1"/>
        <v>2.202683624</v>
      </c>
      <c r="G7" s="52">
        <v>5.5</v>
      </c>
      <c r="H7" s="54">
        <f t="shared" si="2"/>
        <v>0.3809545151</v>
      </c>
      <c r="I7" s="52">
        <v>4.5</v>
      </c>
      <c r="J7" s="54">
        <f t="shared" si="3"/>
        <v>0.4398820087</v>
      </c>
      <c r="K7" s="55">
        <v>4.2</v>
      </c>
      <c r="L7" s="54">
        <f t="shared" si="4"/>
        <v>0.2914928684</v>
      </c>
      <c r="M7" s="55">
        <v>0.325</v>
      </c>
      <c r="N7" s="56">
        <f t="shared" si="5"/>
        <v>0.01973649859</v>
      </c>
      <c r="O7" s="57">
        <v>0.489</v>
      </c>
      <c r="P7" s="24">
        <v>27457.0</v>
      </c>
      <c r="Q7" s="24">
        <v>3839.0</v>
      </c>
      <c r="R7" s="24">
        <v>6488.0</v>
      </c>
      <c r="S7" s="24">
        <v>185.0</v>
      </c>
      <c r="T7" s="24">
        <v>2213.0</v>
      </c>
      <c r="U7" s="24">
        <v>25.8055</v>
      </c>
      <c r="V7" s="24">
        <v>3.6081</v>
      </c>
      <c r="W7" s="24">
        <v>6.0977</v>
      </c>
      <c r="X7" s="24">
        <v>0.1739</v>
      </c>
      <c r="Y7" s="24">
        <v>2.0799</v>
      </c>
      <c r="Z7" s="24">
        <v>95.5</v>
      </c>
      <c r="AA7" s="24">
        <v>21.9</v>
      </c>
      <c r="AB7" s="24">
        <v>5.2</v>
      </c>
      <c r="AC7" s="24">
        <v>42.4</v>
      </c>
      <c r="AD7" s="24">
        <v>7.8</v>
      </c>
      <c r="AE7" s="24">
        <v>1.244</v>
      </c>
      <c r="AF7" s="24">
        <v>1.733491</v>
      </c>
      <c r="AG7" s="24">
        <v>1.230769</v>
      </c>
      <c r="AH7" s="24">
        <v>1.076923</v>
      </c>
      <c r="AI7" s="24">
        <v>1.228311</v>
      </c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</row>
    <row r="8">
      <c r="A8" s="51" t="s">
        <v>48</v>
      </c>
      <c r="B8" s="51" t="s">
        <v>104</v>
      </c>
      <c r="C8" s="24">
        <v>2003.0</v>
      </c>
      <c r="D8" s="24">
        <v>0.07707</v>
      </c>
      <c r="E8" s="52">
        <v>27.6</v>
      </c>
      <c r="F8" s="53">
        <f t="shared" si="1"/>
        <v>2.657213294</v>
      </c>
      <c r="G8" s="52">
        <v>5.5</v>
      </c>
      <c r="H8" s="54">
        <f t="shared" si="2"/>
        <v>0.5303492283</v>
      </c>
      <c r="I8" s="52">
        <v>4.2</v>
      </c>
      <c r="J8" s="54">
        <f t="shared" si="3"/>
        <v>0.5624471338</v>
      </c>
      <c r="K8" s="55">
        <v>4.115853659</v>
      </c>
      <c r="L8" s="54">
        <f t="shared" si="4"/>
        <v>0.3854690121</v>
      </c>
      <c r="M8" s="55">
        <v>0.237804878</v>
      </c>
      <c r="N8" s="56">
        <f t="shared" si="5"/>
        <v>0.02052693658</v>
      </c>
      <c r="O8" s="57">
        <v>0.5</v>
      </c>
      <c r="P8" s="24">
        <v>27457.0</v>
      </c>
      <c r="Q8" s="24">
        <v>3839.0</v>
      </c>
      <c r="R8" s="24">
        <v>6488.0</v>
      </c>
      <c r="S8" s="24">
        <v>185.0</v>
      </c>
      <c r="T8" s="24">
        <v>2213.0</v>
      </c>
      <c r="U8" s="24">
        <v>25.8055</v>
      </c>
      <c r="V8" s="24">
        <v>3.6081</v>
      </c>
      <c r="W8" s="24">
        <v>6.0977</v>
      </c>
      <c r="X8" s="24">
        <v>0.1739</v>
      </c>
      <c r="Y8" s="24">
        <v>2.0799</v>
      </c>
      <c r="Z8" s="24">
        <v>95.1</v>
      </c>
      <c r="AA8" s="24">
        <v>21.5</v>
      </c>
      <c r="AB8" s="24">
        <v>5.0</v>
      </c>
      <c r="AC8" s="24">
        <v>42.3</v>
      </c>
      <c r="AD8" s="24">
        <v>7.9</v>
      </c>
      <c r="AE8" s="24">
        <v>1.2492</v>
      </c>
      <c r="AF8" s="24">
        <v>1.737589</v>
      </c>
      <c r="AG8" s="24">
        <v>1.21519</v>
      </c>
      <c r="AH8" s="24">
        <v>1.12</v>
      </c>
      <c r="AI8" s="24">
        <v>1.251163</v>
      </c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</row>
    <row r="9">
      <c r="A9" s="51" t="s">
        <v>48</v>
      </c>
      <c r="B9" s="51" t="s">
        <v>104</v>
      </c>
      <c r="C9" s="24">
        <v>2004.0</v>
      </c>
      <c r="D9" s="24">
        <v>0.04511</v>
      </c>
      <c r="E9" s="52">
        <v>26.4</v>
      </c>
      <c r="F9" s="53">
        <f t="shared" si="1"/>
        <v>1.514710798</v>
      </c>
      <c r="G9" s="52">
        <v>6.8</v>
      </c>
      <c r="H9" s="54">
        <f t="shared" si="2"/>
        <v>0.3873954234</v>
      </c>
      <c r="I9" s="52">
        <v>3.7</v>
      </c>
      <c r="J9" s="54">
        <f t="shared" si="3"/>
        <v>0.2907029233</v>
      </c>
      <c r="K9" s="55">
        <v>3.59375</v>
      </c>
      <c r="L9" s="54">
        <f t="shared" si="4"/>
        <v>0.1969993876</v>
      </c>
      <c r="M9" s="55">
        <v>0.15625</v>
      </c>
      <c r="N9" s="56">
        <f t="shared" si="5"/>
        <v>0.007739459264</v>
      </c>
      <c r="O9" s="57">
        <v>0.478</v>
      </c>
      <c r="P9" s="24">
        <v>27457.0</v>
      </c>
      <c r="Q9" s="24">
        <v>3839.0</v>
      </c>
      <c r="R9" s="24">
        <v>6488.0</v>
      </c>
      <c r="S9" s="24">
        <v>185.0</v>
      </c>
      <c r="T9" s="24">
        <v>2213.0</v>
      </c>
      <c r="U9" s="24">
        <v>25.8055</v>
      </c>
      <c r="V9" s="24">
        <v>3.6081</v>
      </c>
      <c r="W9" s="24">
        <v>6.0977</v>
      </c>
      <c r="X9" s="24">
        <v>0.1739</v>
      </c>
      <c r="Y9" s="24">
        <v>2.0799</v>
      </c>
      <c r="Z9" s="24">
        <v>93.4</v>
      </c>
      <c r="AA9" s="24">
        <v>21.3</v>
      </c>
      <c r="AB9" s="24">
        <v>5.1</v>
      </c>
      <c r="AC9" s="24">
        <v>42.2</v>
      </c>
      <c r="AD9" s="24">
        <v>7.9</v>
      </c>
      <c r="AE9" s="24">
        <v>1.2719</v>
      </c>
      <c r="AF9" s="24">
        <v>1.741706</v>
      </c>
      <c r="AG9" s="24">
        <v>1.21519</v>
      </c>
      <c r="AH9" s="24">
        <v>1.098039</v>
      </c>
      <c r="AI9" s="24">
        <v>1.262911</v>
      </c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</row>
    <row r="10">
      <c r="A10" s="51" t="s">
        <v>48</v>
      </c>
      <c r="B10" s="51" t="s">
        <v>104</v>
      </c>
      <c r="C10" s="24">
        <v>2005.0</v>
      </c>
      <c r="D10" s="24">
        <v>0.07049</v>
      </c>
      <c r="E10" s="52">
        <v>30.7</v>
      </c>
      <c r="F10" s="53">
        <f t="shared" si="1"/>
        <v>2.644893355</v>
      </c>
      <c r="G10" s="52">
        <v>7.9</v>
      </c>
      <c r="H10" s="54">
        <f t="shared" si="2"/>
        <v>0.7032785115</v>
      </c>
      <c r="I10" s="52">
        <v>4.0</v>
      </c>
      <c r="J10" s="54">
        <f t="shared" si="3"/>
        <v>0.4946077469</v>
      </c>
      <c r="K10" s="55">
        <v>3.6</v>
      </c>
      <c r="L10" s="54">
        <f t="shared" si="4"/>
        <v>0.32481792</v>
      </c>
      <c r="M10" s="55">
        <v>0.18</v>
      </c>
      <c r="N10" s="56">
        <f t="shared" si="5"/>
        <v>0.01450079819</v>
      </c>
      <c r="O10" s="57">
        <v>0.532</v>
      </c>
      <c r="P10" s="24">
        <v>27457.0</v>
      </c>
      <c r="Q10" s="24">
        <v>3839.0</v>
      </c>
      <c r="R10" s="24">
        <v>6488.0</v>
      </c>
      <c r="S10" s="24">
        <v>185.0</v>
      </c>
      <c r="T10" s="24">
        <v>2213.0</v>
      </c>
      <c r="U10" s="24">
        <v>25.8055</v>
      </c>
      <c r="V10" s="24">
        <v>3.6081</v>
      </c>
      <c r="W10" s="24">
        <v>6.0977</v>
      </c>
      <c r="X10" s="24">
        <v>0.1739</v>
      </c>
      <c r="Y10" s="24">
        <v>2.0799</v>
      </c>
      <c r="Z10" s="24">
        <v>97.2</v>
      </c>
      <c r="AA10" s="24">
        <v>21.3</v>
      </c>
      <c r="AB10" s="24">
        <v>4.9</v>
      </c>
      <c r="AC10" s="24">
        <v>41.9</v>
      </c>
      <c r="AD10" s="24">
        <v>7.5</v>
      </c>
      <c r="AE10" s="24">
        <v>1.2222</v>
      </c>
      <c r="AF10" s="24">
        <v>1.754177</v>
      </c>
      <c r="AG10" s="24">
        <v>1.28</v>
      </c>
      <c r="AH10" s="24">
        <v>1.142857</v>
      </c>
      <c r="AI10" s="24">
        <v>1.262911</v>
      </c>
      <c r="AJ10" s="58"/>
      <c r="AM10" s="59" t="s">
        <v>105</v>
      </c>
      <c r="AN10" s="59" t="s">
        <v>106</v>
      </c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</row>
    <row r="11">
      <c r="A11" s="51" t="s">
        <v>48</v>
      </c>
      <c r="B11" s="51" t="s">
        <v>104</v>
      </c>
      <c r="C11" s="24">
        <v>2006.0</v>
      </c>
      <c r="D11" s="24">
        <v>0.06767</v>
      </c>
      <c r="E11" s="52">
        <v>33.0</v>
      </c>
      <c r="F11" s="53">
        <f t="shared" si="1"/>
        <v>2.734889817</v>
      </c>
      <c r="G11" s="52">
        <v>7.4</v>
      </c>
      <c r="H11" s="54">
        <f t="shared" si="2"/>
        <v>0.6539023154</v>
      </c>
      <c r="I11" s="52">
        <v>3.2</v>
      </c>
      <c r="J11" s="54">
        <f t="shared" si="3"/>
        <v>0.3881947476</v>
      </c>
      <c r="K11" s="55">
        <v>2.916666667</v>
      </c>
      <c r="L11" s="54">
        <f t="shared" si="4"/>
        <v>0.2631610454</v>
      </c>
      <c r="M11" s="55">
        <v>0.208333333</v>
      </c>
      <c r="N11" s="56">
        <f t="shared" si="5"/>
        <v>0.0167975126</v>
      </c>
      <c r="O11" s="57">
        <v>0.543</v>
      </c>
      <c r="P11" s="24">
        <v>27457.0</v>
      </c>
      <c r="Q11" s="24">
        <v>3839.0</v>
      </c>
      <c r="R11" s="24">
        <v>6488.0</v>
      </c>
      <c r="S11" s="24">
        <v>185.0</v>
      </c>
      <c r="T11" s="24">
        <v>2213.0</v>
      </c>
      <c r="U11" s="24">
        <v>25.8055</v>
      </c>
      <c r="V11" s="24">
        <v>3.6081</v>
      </c>
      <c r="W11" s="24">
        <v>6.0977</v>
      </c>
      <c r="X11" s="24">
        <v>0.1739</v>
      </c>
      <c r="Y11" s="24">
        <v>2.0799</v>
      </c>
      <c r="Z11" s="24">
        <v>97.0</v>
      </c>
      <c r="AA11" s="24">
        <v>20.6</v>
      </c>
      <c r="AB11" s="24">
        <v>4.7</v>
      </c>
      <c r="AC11" s="24">
        <v>41.0</v>
      </c>
      <c r="AD11" s="24">
        <v>7.2</v>
      </c>
      <c r="AE11" s="24">
        <v>1.2247</v>
      </c>
      <c r="AF11" s="24">
        <v>1.792683</v>
      </c>
      <c r="AG11" s="24">
        <v>1.333333</v>
      </c>
      <c r="AH11" s="24">
        <v>1.191489</v>
      </c>
      <c r="AI11" s="24">
        <v>1.305825</v>
      </c>
      <c r="AJ11" s="58"/>
      <c r="AM11" s="60">
        <v>0.51</v>
      </c>
      <c r="AN11" s="60">
        <v>0.422</v>
      </c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</row>
    <row r="12">
      <c r="A12" s="51" t="s">
        <v>48</v>
      </c>
      <c r="B12" s="51" t="s">
        <v>104</v>
      </c>
      <c r="C12" s="24">
        <v>2007.0</v>
      </c>
      <c r="D12" s="24">
        <v>0.12218</v>
      </c>
      <c r="E12" s="52">
        <v>27.433</v>
      </c>
      <c r="F12" s="53">
        <f t="shared" si="1"/>
        <v>4.034183078</v>
      </c>
      <c r="G12" s="52">
        <v>7.233</v>
      </c>
      <c r="H12" s="54">
        <f t="shared" si="2"/>
        <v>1.116069736</v>
      </c>
      <c r="I12" s="52">
        <v>2.9</v>
      </c>
      <c r="J12" s="54">
        <f t="shared" si="3"/>
        <v>0.6336414734</v>
      </c>
      <c r="K12" s="55">
        <v>1.892307692</v>
      </c>
      <c r="L12" s="54">
        <f t="shared" si="4"/>
        <v>0.3082694613</v>
      </c>
      <c r="M12" s="55">
        <v>0.2</v>
      </c>
      <c r="N12" s="56">
        <f t="shared" si="5"/>
        <v>0.02974816648</v>
      </c>
      <c r="O12" s="57">
        <v>0.538</v>
      </c>
      <c r="P12" s="24">
        <v>27457.0</v>
      </c>
      <c r="Q12" s="24">
        <v>3839.0</v>
      </c>
      <c r="R12" s="24">
        <v>6488.0</v>
      </c>
      <c r="S12" s="24">
        <v>185.0</v>
      </c>
      <c r="T12" s="24">
        <v>2213.0</v>
      </c>
      <c r="U12" s="24">
        <v>25.8055</v>
      </c>
      <c r="V12" s="24">
        <v>3.6081</v>
      </c>
      <c r="W12" s="24">
        <v>6.0977</v>
      </c>
      <c r="X12" s="24">
        <v>0.1739</v>
      </c>
      <c r="Y12" s="24">
        <v>2.0799</v>
      </c>
      <c r="Z12" s="24">
        <v>98.7</v>
      </c>
      <c r="AA12" s="24">
        <v>21.3</v>
      </c>
      <c r="AB12" s="24">
        <v>4.6</v>
      </c>
      <c r="AC12" s="24">
        <v>41.1</v>
      </c>
      <c r="AD12" s="24">
        <v>7.2</v>
      </c>
      <c r="AE12" s="24">
        <v>1.2036</v>
      </c>
      <c r="AF12" s="24">
        <v>1.788321</v>
      </c>
      <c r="AG12" s="24">
        <v>1.333333</v>
      </c>
      <c r="AH12" s="24">
        <v>1.217391</v>
      </c>
      <c r="AI12" s="24">
        <v>1.262911</v>
      </c>
      <c r="AJ12" s="58"/>
      <c r="AM12" s="60">
        <v>0.717</v>
      </c>
      <c r="AN12" s="60">
        <v>0.648</v>
      </c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</row>
    <row r="13">
      <c r="A13" s="51" t="s">
        <v>48</v>
      </c>
      <c r="B13" s="51" t="s">
        <v>104</v>
      </c>
      <c r="C13" s="24">
        <v>2008.0</v>
      </c>
      <c r="D13" s="24">
        <v>0.07707</v>
      </c>
      <c r="E13" s="52">
        <v>26.4</v>
      </c>
      <c r="F13" s="53">
        <f t="shared" si="1"/>
        <v>2.419603402</v>
      </c>
      <c r="G13" s="52">
        <v>7.1</v>
      </c>
      <c r="H13" s="54">
        <f t="shared" si="2"/>
        <v>0.6752110022</v>
      </c>
      <c r="I13" s="52">
        <v>3.0</v>
      </c>
      <c r="J13" s="54">
        <f t="shared" si="3"/>
        <v>0.4046175</v>
      </c>
      <c r="K13" s="55">
        <v>2.926829268</v>
      </c>
      <c r="L13" s="54">
        <f t="shared" si="4"/>
        <v>0.296640851</v>
      </c>
      <c r="M13" s="55">
        <v>0.219512195</v>
      </c>
      <c r="N13" s="56">
        <f t="shared" si="5"/>
        <v>0.02015737841</v>
      </c>
      <c r="O13" s="57">
        <v>0.567</v>
      </c>
      <c r="P13" s="24">
        <v>27457.0</v>
      </c>
      <c r="Q13" s="24">
        <v>3839.0</v>
      </c>
      <c r="R13" s="24">
        <v>6488.0</v>
      </c>
      <c r="S13" s="24">
        <v>185.0</v>
      </c>
      <c r="T13" s="24">
        <v>2213.0</v>
      </c>
      <c r="U13" s="24">
        <v>25.8055</v>
      </c>
      <c r="V13" s="24">
        <v>3.6081</v>
      </c>
      <c r="W13" s="24">
        <v>6.0977</v>
      </c>
      <c r="X13" s="24">
        <v>0.1739</v>
      </c>
      <c r="Y13" s="24">
        <v>2.0799</v>
      </c>
      <c r="Z13" s="24">
        <v>99.9</v>
      </c>
      <c r="AA13" s="24">
        <v>21.8</v>
      </c>
      <c r="AB13" s="24">
        <v>4.7</v>
      </c>
      <c r="AC13" s="24">
        <v>42.0</v>
      </c>
      <c r="AD13" s="24">
        <v>7.3</v>
      </c>
      <c r="AE13" s="24">
        <v>1.1892</v>
      </c>
      <c r="AF13" s="24">
        <v>1.75</v>
      </c>
      <c r="AG13" s="24">
        <v>1.315068</v>
      </c>
      <c r="AH13" s="24">
        <v>1.191489</v>
      </c>
      <c r="AI13" s="24">
        <v>1.233945</v>
      </c>
      <c r="AJ13" s="58"/>
      <c r="AM13" s="60">
        <v>0.655</v>
      </c>
      <c r="AN13" s="60">
        <v>0.578</v>
      </c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</row>
    <row r="14">
      <c r="A14" s="51" t="s">
        <v>48</v>
      </c>
      <c r="B14" s="51" t="s">
        <v>104</v>
      </c>
      <c r="C14" s="24">
        <v>2009.0</v>
      </c>
      <c r="D14" s="24">
        <v>0.10714</v>
      </c>
      <c r="E14" s="52">
        <v>17.867</v>
      </c>
      <c r="F14" s="53">
        <f t="shared" si="1"/>
        <v>2.274153211</v>
      </c>
      <c r="G14" s="52">
        <v>5.533</v>
      </c>
      <c r="H14" s="54">
        <f t="shared" si="2"/>
        <v>0.7593555446</v>
      </c>
      <c r="I14" s="52">
        <v>2.933</v>
      </c>
      <c r="J14" s="54">
        <f t="shared" si="3"/>
        <v>0.5592435557</v>
      </c>
      <c r="K14" s="55">
        <v>1.543859649</v>
      </c>
      <c r="L14" s="54">
        <f t="shared" si="4"/>
        <v>0.2175242443</v>
      </c>
      <c r="M14" s="55">
        <v>0.105263158</v>
      </c>
      <c r="N14" s="56">
        <f t="shared" si="5"/>
        <v>0.01315754763</v>
      </c>
      <c r="O14" s="57">
        <v>0.518</v>
      </c>
      <c r="P14" s="24">
        <v>27457.0</v>
      </c>
      <c r="Q14" s="24">
        <v>3839.0</v>
      </c>
      <c r="R14" s="24">
        <v>6488.0</v>
      </c>
      <c r="S14" s="24">
        <v>185.0</v>
      </c>
      <c r="T14" s="24">
        <v>2213.0</v>
      </c>
      <c r="U14" s="24">
        <v>25.8055</v>
      </c>
      <c r="V14" s="24">
        <v>3.6081</v>
      </c>
      <c r="W14" s="24">
        <v>6.0977</v>
      </c>
      <c r="X14" s="24">
        <v>0.1739</v>
      </c>
      <c r="Y14" s="24">
        <v>2.0799</v>
      </c>
      <c r="Z14" s="24">
        <v>100.0</v>
      </c>
      <c r="AA14" s="24">
        <v>21.0</v>
      </c>
      <c r="AB14" s="24">
        <v>4.8</v>
      </c>
      <c r="AC14" s="24">
        <v>41.3</v>
      </c>
      <c r="AD14" s="24">
        <v>7.3</v>
      </c>
      <c r="AE14" s="24">
        <v>1.188</v>
      </c>
      <c r="AF14" s="24">
        <v>1.779661</v>
      </c>
      <c r="AG14" s="24">
        <v>1.315068</v>
      </c>
      <c r="AH14" s="24">
        <v>1.166667</v>
      </c>
      <c r="AI14" s="24">
        <v>1.280952</v>
      </c>
      <c r="AJ14" s="58"/>
      <c r="AM14" s="60">
        <v>0.629</v>
      </c>
      <c r="AN14" s="60">
        <v>0.51</v>
      </c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</row>
    <row r="15">
      <c r="A15" s="51" t="s">
        <v>48</v>
      </c>
      <c r="B15" s="51" t="s">
        <v>104</v>
      </c>
      <c r="C15" s="24">
        <v>2010.0</v>
      </c>
      <c r="D15" s="24">
        <v>0.05263</v>
      </c>
      <c r="E15" s="52">
        <v>13.333</v>
      </c>
      <c r="F15" s="53">
        <f t="shared" si="1"/>
        <v>0.8303402943</v>
      </c>
      <c r="G15" s="52">
        <v>3.933</v>
      </c>
      <c r="H15" s="54">
        <f t="shared" si="2"/>
        <v>0.2626477963</v>
      </c>
      <c r="I15" s="52">
        <v>2.367</v>
      </c>
      <c r="J15" s="54">
        <f t="shared" si="3"/>
        <v>0.2195750194</v>
      </c>
      <c r="K15" s="55">
        <v>0.678571429</v>
      </c>
      <c r="L15" s="54">
        <f t="shared" si="4"/>
        <v>0.04761760717</v>
      </c>
      <c r="M15" s="55">
        <v>0.071428571</v>
      </c>
      <c r="N15" s="56">
        <f t="shared" si="5"/>
        <v>0.004296325968</v>
      </c>
      <c r="O15" s="57">
        <v>0.538</v>
      </c>
      <c r="P15" s="24">
        <v>27457.0</v>
      </c>
      <c r="Q15" s="24">
        <v>3839.0</v>
      </c>
      <c r="R15" s="24">
        <v>6488.0</v>
      </c>
      <c r="S15" s="24">
        <v>185.0</v>
      </c>
      <c r="T15" s="24">
        <v>2213.0</v>
      </c>
      <c r="U15" s="24">
        <v>25.8055</v>
      </c>
      <c r="V15" s="24">
        <v>3.6081</v>
      </c>
      <c r="W15" s="24">
        <v>6.0977</v>
      </c>
      <c r="X15" s="24">
        <v>0.1739</v>
      </c>
      <c r="Y15" s="24">
        <v>2.0799</v>
      </c>
      <c r="Z15" s="24">
        <v>100.4</v>
      </c>
      <c r="AA15" s="24">
        <v>21.2</v>
      </c>
      <c r="AB15" s="24">
        <v>4.9</v>
      </c>
      <c r="AC15" s="24">
        <v>41.7</v>
      </c>
      <c r="AD15" s="24">
        <v>7.2</v>
      </c>
      <c r="AE15" s="24">
        <v>1.1833</v>
      </c>
      <c r="AF15" s="24">
        <v>1.76259</v>
      </c>
      <c r="AG15" s="24">
        <v>1.333333</v>
      </c>
      <c r="AH15" s="24">
        <v>1.142857</v>
      </c>
      <c r="AI15" s="24">
        <v>1.268868</v>
      </c>
      <c r="AJ15" s="58"/>
      <c r="AM15" s="60">
        <v>0.682</v>
      </c>
      <c r="AN15" s="60">
        <v>0.569</v>
      </c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</row>
    <row r="16">
      <c r="A16" s="51" t="s">
        <v>65</v>
      </c>
      <c r="B16" s="51" t="s">
        <v>107</v>
      </c>
      <c r="C16" s="24">
        <v>1957.0</v>
      </c>
      <c r="D16" s="24">
        <v>0.04984</v>
      </c>
      <c r="E16" s="52">
        <v>14.7</v>
      </c>
      <c r="F16" s="53">
        <f t="shared" si="1"/>
        <v>0.8739025344</v>
      </c>
      <c r="G16" s="52">
        <v>1.8</v>
      </c>
      <c r="H16" s="54">
        <f t="shared" si="2"/>
        <v>0.1276852954</v>
      </c>
      <c r="I16" s="52">
        <v>19.6</v>
      </c>
      <c r="J16" s="54">
        <f t="shared" si="3"/>
        <v>1.150633453</v>
      </c>
      <c r="K16" s="55">
        <v>0.0</v>
      </c>
      <c r="L16" s="54" t="str">
        <f t="shared" si="4"/>
        <v>No Stat</v>
      </c>
      <c r="M16" s="55">
        <v>0.0</v>
      </c>
      <c r="N16" s="56" t="str">
        <f t="shared" si="5"/>
        <v>No Stat</v>
      </c>
      <c r="O16" s="57">
        <v>0.45</v>
      </c>
      <c r="P16" s="24">
        <v>14522.0</v>
      </c>
      <c r="Q16" s="24">
        <v>21620.0</v>
      </c>
      <c r="R16" s="24">
        <v>4100.0</v>
      </c>
      <c r="S16" s="24">
        <v>0.0</v>
      </c>
      <c r="T16" s="24">
        <v>0.0</v>
      </c>
      <c r="U16" s="24">
        <v>15.08</v>
      </c>
      <c r="V16" s="24">
        <v>22.4507</v>
      </c>
      <c r="W16" s="24">
        <v>4.2575</v>
      </c>
      <c r="X16" s="24">
        <v>0.0</v>
      </c>
      <c r="Y16" s="24">
        <v>0.0</v>
      </c>
      <c r="Z16" s="24">
        <v>99.6</v>
      </c>
      <c r="AA16" s="24">
        <v>18.9</v>
      </c>
      <c r="AB16" s="25"/>
      <c r="AC16" s="24">
        <v>62.4</v>
      </c>
      <c r="AD16" s="25"/>
      <c r="AE16" s="24">
        <v>1.1928</v>
      </c>
      <c r="AF16" s="24">
        <v>1.177885</v>
      </c>
      <c r="AG16" s="51" t="s">
        <v>108</v>
      </c>
      <c r="AH16" s="51" t="s">
        <v>108</v>
      </c>
      <c r="AI16" s="24">
        <v>1.42328</v>
      </c>
      <c r="AJ16" s="58"/>
      <c r="AM16" s="60">
        <v>0.602</v>
      </c>
      <c r="AN16" s="60">
        <v>0.476</v>
      </c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</row>
    <row r="17">
      <c r="A17" s="51" t="s">
        <v>65</v>
      </c>
      <c r="B17" s="51" t="s">
        <v>107</v>
      </c>
      <c r="C17" s="24">
        <v>1958.0</v>
      </c>
      <c r="D17" s="24">
        <v>0.07165</v>
      </c>
      <c r="E17" s="52">
        <v>16.6</v>
      </c>
      <c r="F17" s="53">
        <f t="shared" si="1"/>
        <v>1.325456216</v>
      </c>
      <c r="G17" s="52">
        <v>2.9</v>
      </c>
      <c r="H17" s="54">
        <f t="shared" si="2"/>
        <v>0.2851743155</v>
      </c>
      <c r="I17" s="52">
        <v>22.7</v>
      </c>
      <c r="J17" s="54">
        <f t="shared" si="3"/>
        <v>1.667287153</v>
      </c>
      <c r="K17" s="55">
        <v>0.0</v>
      </c>
      <c r="L17" s="54" t="str">
        <f t="shared" si="4"/>
        <v>No Stat</v>
      </c>
      <c r="M17" s="55">
        <v>0.0</v>
      </c>
      <c r="N17" s="56" t="str">
        <f t="shared" si="5"/>
        <v>No Stat</v>
      </c>
      <c r="O17" s="57">
        <v>0.465</v>
      </c>
      <c r="P17" s="24">
        <v>14522.0</v>
      </c>
      <c r="Q17" s="24">
        <v>21620.0</v>
      </c>
      <c r="R17" s="24">
        <v>4100.0</v>
      </c>
      <c r="S17" s="24">
        <v>0.0</v>
      </c>
      <c r="T17" s="24">
        <v>0.0</v>
      </c>
      <c r="U17" s="24">
        <v>15.08</v>
      </c>
      <c r="V17" s="24">
        <v>22.4507</v>
      </c>
      <c r="W17" s="24">
        <v>4.2575</v>
      </c>
      <c r="X17" s="24">
        <v>0.0</v>
      </c>
      <c r="Y17" s="24">
        <v>0.0</v>
      </c>
      <c r="Z17" s="24">
        <v>106.6</v>
      </c>
      <c r="AA17" s="24">
        <v>19.6</v>
      </c>
      <c r="AB17" s="25"/>
      <c r="AC17" s="24">
        <v>71.7</v>
      </c>
      <c r="AD17" s="25"/>
      <c r="AE17" s="24">
        <v>1.1144</v>
      </c>
      <c r="AF17" s="24">
        <v>1.025105</v>
      </c>
      <c r="AG17" s="51" t="s">
        <v>108</v>
      </c>
      <c r="AH17" s="51" t="s">
        <v>108</v>
      </c>
      <c r="AI17" s="24">
        <v>1.372449</v>
      </c>
      <c r="AJ17" s="58"/>
      <c r="AM17" s="60">
        <v>0.529</v>
      </c>
      <c r="AN17" s="60">
        <v>0.393</v>
      </c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</row>
    <row r="18">
      <c r="A18" s="51" t="s">
        <v>65</v>
      </c>
      <c r="B18" s="51" t="s">
        <v>107</v>
      </c>
      <c r="C18" s="24">
        <v>1959.0</v>
      </c>
      <c r="D18" s="24">
        <v>0.07269</v>
      </c>
      <c r="E18" s="52">
        <v>16.7</v>
      </c>
      <c r="F18" s="53">
        <f t="shared" si="1"/>
        <v>1.332887454</v>
      </c>
      <c r="G18" s="52">
        <v>3.2</v>
      </c>
      <c r="H18" s="54">
        <f t="shared" si="2"/>
        <v>0.319242617</v>
      </c>
      <c r="I18" s="52">
        <v>23.0</v>
      </c>
      <c r="J18" s="54">
        <f t="shared" si="3"/>
        <v>1.7554635</v>
      </c>
      <c r="K18" s="55">
        <v>0.0</v>
      </c>
      <c r="L18" s="54" t="str">
        <f t="shared" si="4"/>
        <v>No Stat</v>
      </c>
      <c r="M18" s="55">
        <v>0.0</v>
      </c>
      <c r="N18" s="56" t="str">
        <f t="shared" si="5"/>
        <v>No Stat</v>
      </c>
      <c r="O18" s="57">
        <v>0.493</v>
      </c>
      <c r="P18" s="24">
        <v>14522.0</v>
      </c>
      <c r="Q18" s="24">
        <v>21620.0</v>
      </c>
      <c r="R18" s="24">
        <v>4100.0</v>
      </c>
      <c r="S18" s="24">
        <v>0.0</v>
      </c>
      <c r="T18" s="24">
        <v>0.0</v>
      </c>
      <c r="U18" s="24">
        <v>15.08</v>
      </c>
      <c r="V18" s="24">
        <v>22.4507</v>
      </c>
      <c r="W18" s="24">
        <v>4.2575</v>
      </c>
      <c r="X18" s="24">
        <v>0.0</v>
      </c>
      <c r="Y18" s="24">
        <v>0.0</v>
      </c>
      <c r="Z18" s="24">
        <v>108.2</v>
      </c>
      <c r="AA18" s="24">
        <v>19.6</v>
      </c>
      <c r="AB18" s="25"/>
      <c r="AC18" s="24">
        <v>70.0</v>
      </c>
      <c r="AD18" s="25"/>
      <c r="AE18" s="24">
        <v>1.098</v>
      </c>
      <c r="AF18" s="24">
        <v>1.05</v>
      </c>
      <c r="AG18" s="51" t="s">
        <v>108</v>
      </c>
      <c r="AH18" s="51" t="s">
        <v>108</v>
      </c>
      <c r="AI18" s="24">
        <v>1.372449</v>
      </c>
      <c r="AJ18" s="58"/>
      <c r="AM18" s="60">
        <v>0.58</v>
      </c>
      <c r="AN18" s="60">
        <v>0.593</v>
      </c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</row>
    <row r="19">
      <c r="A19" s="51" t="s">
        <v>65</v>
      </c>
      <c r="B19" s="51" t="s">
        <v>107</v>
      </c>
      <c r="C19" s="24">
        <v>1960.0</v>
      </c>
      <c r="D19" s="24">
        <v>0.07684</v>
      </c>
      <c r="E19" s="52">
        <v>18.2</v>
      </c>
      <c r="F19" s="53">
        <f t="shared" si="1"/>
        <v>1.441002035</v>
      </c>
      <c r="G19" s="52">
        <v>3.7</v>
      </c>
      <c r="H19" s="54">
        <f t="shared" si="2"/>
        <v>0.3384018616</v>
      </c>
      <c r="I19" s="52">
        <v>24.0</v>
      </c>
      <c r="J19" s="54">
        <f t="shared" si="3"/>
        <v>1.84416</v>
      </c>
      <c r="K19" s="55">
        <v>0.0</v>
      </c>
      <c r="L19" s="54" t="str">
        <f t="shared" si="4"/>
        <v>No Stat</v>
      </c>
      <c r="M19" s="55">
        <v>0.0</v>
      </c>
      <c r="N19" s="56" t="str">
        <f t="shared" si="5"/>
        <v>No Stat</v>
      </c>
      <c r="O19" s="57">
        <v>0.496</v>
      </c>
      <c r="P19" s="24">
        <v>14522.0</v>
      </c>
      <c r="Q19" s="24">
        <v>21620.0</v>
      </c>
      <c r="R19" s="24">
        <v>4100.0</v>
      </c>
      <c r="S19" s="24">
        <v>0.0</v>
      </c>
      <c r="T19" s="24">
        <v>0.0</v>
      </c>
      <c r="U19" s="24">
        <v>15.08</v>
      </c>
      <c r="V19" s="24">
        <v>22.4507</v>
      </c>
      <c r="W19" s="24">
        <v>4.2575</v>
      </c>
      <c r="X19" s="24">
        <v>0.0</v>
      </c>
      <c r="Y19" s="24">
        <v>0.0</v>
      </c>
      <c r="Z19" s="24">
        <v>115.3</v>
      </c>
      <c r="AA19" s="24">
        <v>22.6</v>
      </c>
      <c r="AB19" s="25"/>
      <c r="AC19" s="24">
        <v>73.5</v>
      </c>
      <c r="AD19" s="25"/>
      <c r="AE19" s="24">
        <v>1.0304</v>
      </c>
      <c r="AF19" s="24">
        <v>1.0</v>
      </c>
      <c r="AG19" s="51" t="s">
        <v>108</v>
      </c>
      <c r="AH19" s="51" t="s">
        <v>108</v>
      </c>
      <c r="AI19" s="24">
        <v>1.190265</v>
      </c>
      <c r="AJ19" s="58"/>
      <c r="AM19" s="60">
        <v>0.616</v>
      </c>
      <c r="AN19" s="60">
        <v>0.519</v>
      </c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</row>
    <row r="20">
      <c r="A20" s="51" t="s">
        <v>65</v>
      </c>
      <c r="B20" s="51" t="s">
        <v>107</v>
      </c>
      <c r="C20" s="24">
        <v>1961.0</v>
      </c>
      <c r="D20" s="24">
        <v>0.081</v>
      </c>
      <c r="E20" s="52">
        <v>16.9</v>
      </c>
      <c r="F20" s="53">
        <f t="shared" si="1"/>
        <v>1.37697651</v>
      </c>
      <c r="G20" s="52">
        <v>3.4</v>
      </c>
      <c r="H20" s="54">
        <f t="shared" si="2"/>
        <v>0.306126378</v>
      </c>
      <c r="I20" s="52">
        <v>23.9</v>
      </c>
      <c r="J20" s="54">
        <f t="shared" si="3"/>
        <v>1.941183071</v>
      </c>
      <c r="K20" s="55">
        <v>0.0</v>
      </c>
      <c r="L20" s="54" t="str">
        <f t="shared" si="4"/>
        <v>No Stat</v>
      </c>
      <c r="M20" s="55">
        <v>0.0</v>
      </c>
      <c r="N20" s="56" t="str">
        <f t="shared" si="5"/>
        <v>No Stat</v>
      </c>
      <c r="O20" s="57">
        <v>0.454</v>
      </c>
      <c r="P20" s="24">
        <v>14522.0</v>
      </c>
      <c r="Q20" s="24">
        <v>21620.0</v>
      </c>
      <c r="R20" s="24">
        <v>4100.0</v>
      </c>
      <c r="S20" s="24">
        <v>0.0</v>
      </c>
      <c r="T20" s="24">
        <v>0.0</v>
      </c>
      <c r="U20" s="24">
        <v>15.08</v>
      </c>
      <c r="V20" s="24">
        <v>22.4507</v>
      </c>
      <c r="W20" s="24">
        <v>4.2575</v>
      </c>
      <c r="X20" s="24">
        <v>0.0</v>
      </c>
      <c r="Y20" s="24">
        <v>0.0</v>
      </c>
      <c r="Z20" s="24">
        <v>118.1</v>
      </c>
      <c r="AA20" s="24">
        <v>24.2</v>
      </c>
      <c r="AB20" s="25"/>
      <c r="AC20" s="24">
        <v>73.3</v>
      </c>
      <c r="AD20" s="25"/>
      <c r="AE20" s="24">
        <v>1.0059</v>
      </c>
      <c r="AF20" s="24">
        <v>1.002729</v>
      </c>
      <c r="AG20" s="51" t="s">
        <v>108</v>
      </c>
      <c r="AH20" s="51" t="s">
        <v>108</v>
      </c>
      <c r="AI20" s="24">
        <v>1.11157</v>
      </c>
      <c r="AJ20" s="58"/>
      <c r="AM20" s="60">
        <v>0.591</v>
      </c>
      <c r="AN20" s="60">
        <v>0.524</v>
      </c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</row>
    <row r="21">
      <c r="A21" s="51" t="s">
        <v>65</v>
      </c>
      <c r="B21" s="51" t="s">
        <v>107</v>
      </c>
      <c r="C21" s="24">
        <v>1962.0</v>
      </c>
      <c r="D21" s="24">
        <v>0.07892</v>
      </c>
      <c r="E21" s="52">
        <v>18.9</v>
      </c>
      <c r="F21" s="53">
        <f t="shared" si="1"/>
        <v>1.491588</v>
      </c>
      <c r="G21" s="52">
        <v>4.5</v>
      </c>
      <c r="H21" s="54">
        <f t="shared" si="2"/>
        <v>0.3997182382</v>
      </c>
      <c r="I21" s="52">
        <v>23.6</v>
      </c>
      <c r="J21" s="54">
        <f t="shared" si="3"/>
        <v>1.917292203</v>
      </c>
      <c r="K21" s="55">
        <v>0.0</v>
      </c>
      <c r="L21" s="54" t="str">
        <f t="shared" si="4"/>
        <v>No Stat</v>
      </c>
      <c r="M21" s="55">
        <v>0.0</v>
      </c>
      <c r="N21" s="56" t="str">
        <f t="shared" si="5"/>
        <v>No Stat</v>
      </c>
      <c r="O21" s="57">
        <v>0.489</v>
      </c>
      <c r="P21" s="24">
        <v>14522.0</v>
      </c>
      <c r="Q21" s="24">
        <v>21620.0</v>
      </c>
      <c r="R21" s="24">
        <v>4100.0</v>
      </c>
      <c r="S21" s="24">
        <v>0.0</v>
      </c>
      <c r="T21" s="24">
        <v>0.0</v>
      </c>
      <c r="U21" s="24">
        <v>15.08</v>
      </c>
      <c r="V21" s="24">
        <v>22.4507</v>
      </c>
      <c r="W21" s="24">
        <v>4.2575</v>
      </c>
      <c r="X21" s="24">
        <v>0.0</v>
      </c>
      <c r="Y21" s="24">
        <v>0.0</v>
      </c>
      <c r="Z21" s="24">
        <v>118.8</v>
      </c>
      <c r="AA21" s="24">
        <v>23.9</v>
      </c>
      <c r="AB21" s="25"/>
      <c r="AC21" s="24">
        <v>71.4</v>
      </c>
      <c r="AD21" s="25"/>
      <c r="AE21" s="24">
        <v>1.0</v>
      </c>
      <c r="AF21" s="24">
        <v>1.029412</v>
      </c>
      <c r="AG21" s="51" t="s">
        <v>108</v>
      </c>
      <c r="AH21" s="51" t="s">
        <v>108</v>
      </c>
      <c r="AI21" s="24">
        <v>1.125523</v>
      </c>
      <c r="AJ21" s="58"/>
      <c r="AM21" s="60">
        <v>0.579</v>
      </c>
      <c r="AN21" s="60">
        <v>0.631</v>
      </c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</row>
    <row r="22">
      <c r="A22" s="51" t="s">
        <v>65</v>
      </c>
      <c r="B22" s="51" t="s">
        <v>107</v>
      </c>
      <c r="C22" s="24">
        <v>1963.0</v>
      </c>
      <c r="D22" s="24">
        <v>0.081</v>
      </c>
      <c r="E22" s="52">
        <v>16.8</v>
      </c>
      <c r="F22" s="53">
        <f t="shared" si="1"/>
        <v>1.40216832</v>
      </c>
      <c r="G22" s="52">
        <v>4.5</v>
      </c>
      <c r="H22" s="54">
        <f t="shared" si="2"/>
        <v>0.431940519</v>
      </c>
      <c r="I22" s="52">
        <v>23.6</v>
      </c>
      <c r="J22" s="54">
        <f t="shared" si="3"/>
        <v>2.106485708</v>
      </c>
      <c r="K22" s="55">
        <v>0.0</v>
      </c>
      <c r="L22" s="54" t="str">
        <f t="shared" si="4"/>
        <v>No Stat</v>
      </c>
      <c r="M22" s="55">
        <v>0.0</v>
      </c>
      <c r="N22" s="56" t="str">
        <f t="shared" si="5"/>
        <v>No Stat</v>
      </c>
      <c r="O22" s="57">
        <v>0.464</v>
      </c>
      <c r="P22" s="24">
        <v>14522.0</v>
      </c>
      <c r="Q22" s="24">
        <v>21620.0</v>
      </c>
      <c r="R22" s="24">
        <v>4100.0</v>
      </c>
      <c r="S22" s="24">
        <v>0.0</v>
      </c>
      <c r="T22" s="24">
        <v>0.0</v>
      </c>
      <c r="U22" s="24">
        <v>15.08</v>
      </c>
      <c r="V22" s="24">
        <v>22.4507</v>
      </c>
      <c r="W22" s="24">
        <v>4.2575</v>
      </c>
      <c r="X22" s="24">
        <v>0.0</v>
      </c>
      <c r="Y22" s="24">
        <v>0.0</v>
      </c>
      <c r="Z22" s="24">
        <v>115.3</v>
      </c>
      <c r="AA22" s="24">
        <v>22.7</v>
      </c>
      <c r="AB22" s="25"/>
      <c r="AC22" s="24">
        <v>66.7</v>
      </c>
      <c r="AD22" s="25"/>
      <c r="AE22" s="24">
        <v>1.0304</v>
      </c>
      <c r="AF22" s="24">
        <v>1.101949</v>
      </c>
      <c r="AG22" s="51" t="s">
        <v>108</v>
      </c>
      <c r="AH22" s="51" t="s">
        <v>108</v>
      </c>
      <c r="AI22" s="24">
        <v>1.185022</v>
      </c>
      <c r="AJ22" s="58"/>
      <c r="AM22" s="60">
        <v>0.584</v>
      </c>
      <c r="AN22" s="60">
        <v>0.5</v>
      </c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</row>
    <row r="23">
      <c r="A23" s="51" t="s">
        <v>65</v>
      </c>
      <c r="B23" s="51" t="s">
        <v>107</v>
      </c>
      <c r="C23" s="24">
        <v>1964.0</v>
      </c>
      <c r="D23" s="24">
        <v>0.081</v>
      </c>
      <c r="E23" s="52">
        <v>15.0</v>
      </c>
      <c r="F23" s="53">
        <f t="shared" si="1"/>
        <v>1.3004145</v>
      </c>
      <c r="G23" s="52">
        <v>4.7</v>
      </c>
      <c r="H23" s="54">
        <f t="shared" si="2"/>
        <v>0.4785433263</v>
      </c>
      <c r="I23" s="52">
        <v>24.7</v>
      </c>
      <c r="J23" s="54">
        <f t="shared" si="3"/>
        <v>2.231432728</v>
      </c>
      <c r="K23" s="55">
        <v>0.0</v>
      </c>
      <c r="L23" s="54" t="str">
        <f t="shared" si="4"/>
        <v>No Stat</v>
      </c>
      <c r="M23" s="55">
        <v>0.0</v>
      </c>
      <c r="N23" s="56" t="str">
        <f t="shared" si="5"/>
        <v>No Stat</v>
      </c>
      <c r="O23" s="57">
        <v>0.461</v>
      </c>
      <c r="P23" s="24">
        <v>14522.0</v>
      </c>
      <c r="Q23" s="24">
        <v>21620.0</v>
      </c>
      <c r="R23" s="24">
        <v>4100.0</v>
      </c>
      <c r="S23" s="24">
        <v>0.0</v>
      </c>
      <c r="T23" s="24">
        <v>0.0</v>
      </c>
      <c r="U23" s="24">
        <v>15.08</v>
      </c>
      <c r="V23" s="24">
        <v>22.4507</v>
      </c>
      <c r="W23" s="24">
        <v>4.2575</v>
      </c>
      <c r="X23" s="24">
        <v>0.0</v>
      </c>
      <c r="Y23" s="24">
        <v>0.0</v>
      </c>
      <c r="Z23" s="24">
        <v>111.0</v>
      </c>
      <c r="AA23" s="24">
        <v>21.4</v>
      </c>
      <c r="AB23" s="25"/>
      <c r="AC23" s="24">
        <v>65.9</v>
      </c>
      <c r="AD23" s="25"/>
      <c r="AE23" s="24">
        <v>1.0703</v>
      </c>
      <c r="AF23" s="24">
        <v>1.115326</v>
      </c>
      <c r="AG23" s="51" t="s">
        <v>108</v>
      </c>
      <c r="AH23" s="51" t="s">
        <v>108</v>
      </c>
      <c r="AI23" s="24">
        <v>1.257009</v>
      </c>
      <c r="AJ23" s="58"/>
      <c r="AM23" s="60">
        <v>0.638</v>
      </c>
      <c r="AN23" s="60">
        <v>0.569</v>
      </c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</row>
    <row r="24">
      <c r="A24" s="51" t="s">
        <v>65</v>
      </c>
      <c r="B24" s="51" t="s">
        <v>107</v>
      </c>
      <c r="C24" s="24">
        <v>1965.0</v>
      </c>
      <c r="D24" s="24">
        <v>0.081</v>
      </c>
      <c r="E24" s="52">
        <v>14.1</v>
      </c>
      <c r="F24" s="53">
        <f t="shared" si="1"/>
        <v>1.22672961</v>
      </c>
      <c r="G24" s="52">
        <v>5.3</v>
      </c>
      <c r="H24" s="54">
        <f t="shared" si="2"/>
        <v>0.5499126936</v>
      </c>
      <c r="I24" s="52">
        <v>24.1</v>
      </c>
      <c r="J24" s="54">
        <f t="shared" si="3"/>
        <v>2.131937213</v>
      </c>
      <c r="K24" s="55">
        <v>0.0</v>
      </c>
      <c r="L24" s="54" t="str">
        <f t="shared" si="4"/>
        <v>No Stat</v>
      </c>
      <c r="M24" s="55">
        <v>0.0</v>
      </c>
      <c r="N24" s="56" t="str">
        <f t="shared" si="5"/>
        <v>No Stat</v>
      </c>
      <c r="O24" s="57">
        <v>0.472</v>
      </c>
      <c r="P24" s="24">
        <v>14522.0</v>
      </c>
      <c r="Q24" s="24">
        <v>21620.0</v>
      </c>
      <c r="R24" s="24">
        <v>4100.0</v>
      </c>
      <c r="S24" s="24">
        <v>0.0</v>
      </c>
      <c r="T24" s="24">
        <v>0.0</v>
      </c>
      <c r="U24" s="24">
        <v>15.08</v>
      </c>
      <c r="V24" s="24">
        <v>22.4507</v>
      </c>
      <c r="W24" s="24">
        <v>4.2575</v>
      </c>
      <c r="X24" s="24">
        <v>0.0</v>
      </c>
      <c r="Y24" s="24">
        <v>0.0</v>
      </c>
      <c r="Z24" s="24">
        <v>110.6</v>
      </c>
      <c r="AA24" s="24">
        <v>21.0</v>
      </c>
      <c r="AB24" s="25"/>
      <c r="AC24" s="24">
        <v>67.3</v>
      </c>
      <c r="AD24" s="25"/>
      <c r="AE24" s="24">
        <v>1.0741</v>
      </c>
      <c r="AF24" s="24">
        <v>1.092125</v>
      </c>
      <c r="AG24" s="51" t="s">
        <v>108</v>
      </c>
      <c r="AH24" s="51" t="s">
        <v>108</v>
      </c>
      <c r="AI24" s="24">
        <v>1.280952</v>
      </c>
      <c r="AJ24" s="58"/>
      <c r="AM24" s="60">
        <v>0.649</v>
      </c>
      <c r="AN24" s="60">
        <v>0.628</v>
      </c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</row>
    <row r="25">
      <c r="A25" s="51" t="s">
        <v>65</v>
      </c>
      <c r="B25" s="51" t="s">
        <v>107</v>
      </c>
      <c r="C25" s="24">
        <v>1966.0</v>
      </c>
      <c r="D25" s="24">
        <v>0.081</v>
      </c>
      <c r="E25" s="52">
        <v>12.9</v>
      </c>
      <c r="F25" s="53">
        <f t="shared" si="1"/>
        <v>1.07478414</v>
      </c>
      <c r="G25" s="52">
        <v>4.8</v>
      </c>
      <c r="H25" s="54">
        <f t="shared" si="2"/>
        <v>0.4567124736</v>
      </c>
      <c r="I25" s="52">
        <v>22.8</v>
      </c>
      <c r="J25" s="54">
        <f t="shared" si="3"/>
        <v>1.990320368</v>
      </c>
      <c r="K25" s="55">
        <v>0.0</v>
      </c>
      <c r="L25" s="54" t="str">
        <f t="shared" si="4"/>
        <v>No Stat</v>
      </c>
      <c r="M25" s="55">
        <v>0.0</v>
      </c>
      <c r="N25" s="56" t="str">
        <f t="shared" si="5"/>
        <v>No Stat</v>
      </c>
      <c r="O25" s="57">
        <v>0.448</v>
      </c>
      <c r="P25" s="24">
        <v>14522.0</v>
      </c>
      <c r="Q25" s="24">
        <v>21620.0</v>
      </c>
      <c r="R25" s="24">
        <v>4100.0</v>
      </c>
      <c r="S25" s="24">
        <v>0.0</v>
      </c>
      <c r="T25" s="24">
        <v>0.0</v>
      </c>
      <c r="U25" s="24">
        <v>15.08</v>
      </c>
      <c r="V25" s="24">
        <v>22.4507</v>
      </c>
      <c r="W25" s="24">
        <v>4.2575</v>
      </c>
      <c r="X25" s="24">
        <v>0.0</v>
      </c>
      <c r="Y25" s="24">
        <v>0.0</v>
      </c>
      <c r="Z25" s="24">
        <v>115.5</v>
      </c>
      <c r="AA25" s="24">
        <v>22.9</v>
      </c>
      <c r="AB25" s="25"/>
      <c r="AC25" s="24">
        <v>68.2</v>
      </c>
      <c r="AD25" s="25"/>
      <c r="AE25" s="24">
        <v>1.0286</v>
      </c>
      <c r="AF25" s="24">
        <v>1.077713</v>
      </c>
      <c r="AG25" s="51" t="s">
        <v>108</v>
      </c>
      <c r="AH25" s="51" t="s">
        <v>108</v>
      </c>
      <c r="AI25" s="24">
        <v>1.174672</v>
      </c>
      <c r="AJ25" s="58"/>
      <c r="AM25" s="60">
        <v>0.634</v>
      </c>
      <c r="AN25" s="60">
        <v>0.489</v>
      </c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</row>
    <row r="26">
      <c r="A26" s="51" t="s">
        <v>65</v>
      </c>
      <c r="B26" s="51" t="s">
        <v>107</v>
      </c>
      <c r="C26" s="24">
        <v>1967.0</v>
      </c>
      <c r="D26" s="24">
        <v>0.08411</v>
      </c>
      <c r="E26" s="52">
        <v>13.3</v>
      </c>
      <c r="F26" s="53">
        <f t="shared" si="1"/>
        <v>1.13197509</v>
      </c>
      <c r="G26" s="52">
        <v>5.8</v>
      </c>
      <c r="H26" s="54">
        <f t="shared" si="2"/>
        <v>0.5858412393</v>
      </c>
      <c r="I26" s="52">
        <v>21.0</v>
      </c>
      <c r="J26" s="54">
        <f t="shared" si="3"/>
        <v>1.929031309</v>
      </c>
      <c r="K26" s="55">
        <v>0.0</v>
      </c>
      <c r="L26" s="54" t="str">
        <f t="shared" si="4"/>
        <v>No Stat</v>
      </c>
      <c r="M26" s="55">
        <v>0.0</v>
      </c>
      <c r="N26" s="56" t="str">
        <f t="shared" si="5"/>
        <v>No Stat</v>
      </c>
      <c r="O26" s="57">
        <v>0.5</v>
      </c>
      <c r="P26" s="24">
        <v>14522.0</v>
      </c>
      <c r="Q26" s="24">
        <v>21620.0</v>
      </c>
      <c r="R26" s="24">
        <v>4100.0</v>
      </c>
      <c r="S26" s="24">
        <v>0.0</v>
      </c>
      <c r="T26" s="24">
        <v>0.0</v>
      </c>
      <c r="U26" s="24">
        <v>15.08</v>
      </c>
      <c r="V26" s="24">
        <v>22.4507</v>
      </c>
      <c r="W26" s="24">
        <v>4.2575</v>
      </c>
      <c r="X26" s="24">
        <v>0.0</v>
      </c>
      <c r="Y26" s="24">
        <v>0.0</v>
      </c>
      <c r="Z26" s="24">
        <v>117.4</v>
      </c>
      <c r="AA26" s="24">
        <v>22.4</v>
      </c>
      <c r="AB26" s="25"/>
      <c r="AC26" s="24">
        <v>67.3</v>
      </c>
      <c r="AD26" s="25"/>
      <c r="AE26" s="24">
        <v>1.0119</v>
      </c>
      <c r="AF26" s="24">
        <v>1.092125</v>
      </c>
      <c r="AG26" s="51" t="s">
        <v>108</v>
      </c>
      <c r="AH26" s="51" t="s">
        <v>108</v>
      </c>
      <c r="AI26" s="24">
        <v>1.200893</v>
      </c>
      <c r="AJ26" s="58"/>
      <c r="AM26" s="60">
        <v>0.673</v>
      </c>
      <c r="AN26" s="60">
        <v>0.596</v>
      </c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</row>
    <row r="27">
      <c r="A27" s="51" t="s">
        <v>65</v>
      </c>
      <c r="B27" s="51" t="s">
        <v>107</v>
      </c>
      <c r="C27" s="24">
        <v>1968.0</v>
      </c>
      <c r="D27" s="24">
        <v>0.081</v>
      </c>
      <c r="E27" s="52">
        <v>12.5</v>
      </c>
      <c r="F27" s="53">
        <f t="shared" si="1"/>
        <v>1.03163625</v>
      </c>
      <c r="G27" s="52">
        <v>4.6</v>
      </c>
      <c r="H27" s="54">
        <f t="shared" si="2"/>
        <v>0.439602795</v>
      </c>
      <c r="I27" s="52">
        <v>18.6</v>
      </c>
      <c r="J27" s="54">
        <f t="shared" si="3"/>
        <v>1.672735795</v>
      </c>
      <c r="K27" s="55">
        <v>0.0</v>
      </c>
      <c r="L27" s="54" t="str">
        <f t="shared" si="4"/>
        <v>No Stat</v>
      </c>
      <c r="M27" s="55">
        <v>0.0</v>
      </c>
      <c r="N27" s="56" t="str">
        <f t="shared" si="5"/>
        <v>No Stat</v>
      </c>
      <c r="O27" s="57">
        <v>0.461</v>
      </c>
      <c r="P27" s="24">
        <v>14522.0</v>
      </c>
      <c r="Q27" s="24">
        <v>21620.0</v>
      </c>
      <c r="R27" s="24">
        <v>4100.0</v>
      </c>
      <c r="S27" s="24">
        <v>0.0</v>
      </c>
      <c r="T27" s="24">
        <v>0.0</v>
      </c>
      <c r="U27" s="24">
        <v>15.08</v>
      </c>
      <c r="V27" s="24">
        <v>22.4507</v>
      </c>
      <c r="W27" s="24">
        <v>4.2575</v>
      </c>
      <c r="X27" s="24">
        <v>0.0</v>
      </c>
      <c r="Y27" s="24">
        <v>0.0</v>
      </c>
      <c r="Z27" s="24">
        <v>116.6</v>
      </c>
      <c r="AA27" s="24">
        <v>22.8</v>
      </c>
      <c r="AB27" s="25"/>
      <c r="AC27" s="24">
        <v>66.2</v>
      </c>
      <c r="AD27" s="25"/>
      <c r="AE27" s="24">
        <v>1.0189</v>
      </c>
      <c r="AF27" s="24">
        <v>1.110272</v>
      </c>
      <c r="AG27" s="51" t="s">
        <v>108</v>
      </c>
      <c r="AH27" s="51" t="s">
        <v>108</v>
      </c>
      <c r="AI27" s="24">
        <v>1.179825</v>
      </c>
      <c r="AJ27" s="58"/>
      <c r="AM27" s="60">
        <v>0.688</v>
      </c>
      <c r="AN27" s="60">
        <v>0.65</v>
      </c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</row>
    <row r="28">
      <c r="A28" s="51" t="s">
        <v>65</v>
      </c>
      <c r="B28" s="51" t="s">
        <v>107</v>
      </c>
      <c r="C28" s="24">
        <v>1969.0</v>
      </c>
      <c r="D28" s="24">
        <v>0.07996</v>
      </c>
      <c r="E28" s="52">
        <v>9.9</v>
      </c>
      <c r="F28" s="53">
        <f t="shared" si="1"/>
        <v>0.8374378716</v>
      </c>
      <c r="G28" s="52">
        <v>4.9</v>
      </c>
      <c r="H28" s="54">
        <f t="shared" si="2"/>
        <v>0.4562565416</v>
      </c>
      <c r="I28" s="52">
        <v>19.3</v>
      </c>
      <c r="J28" s="54">
        <f t="shared" si="3"/>
        <v>1.993449337</v>
      </c>
      <c r="K28" s="55">
        <v>0.0</v>
      </c>
      <c r="L28" s="54" t="str">
        <f t="shared" si="4"/>
        <v>No Stat</v>
      </c>
      <c r="M28" s="55">
        <v>0.0</v>
      </c>
      <c r="N28" s="56" t="str">
        <f t="shared" si="5"/>
        <v>No Stat</v>
      </c>
      <c r="O28" s="57">
        <v>0.467</v>
      </c>
      <c r="P28" s="24">
        <v>14522.0</v>
      </c>
      <c r="Q28" s="24">
        <v>21620.0</v>
      </c>
      <c r="R28" s="24">
        <v>4100.0</v>
      </c>
      <c r="S28" s="24">
        <v>0.0</v>
      </c>
      <c r="T28" s="24">
        <v>0.0</v>
      </c>
      <c r="U28" s="24">
        <v>15.08</v>
      </c>
      <c r="V28" s="24">
        <v>22.4507</v>
      </c>
      <c r="W28" s="24">
        <v>4.2575</v>
      </c>
      <c r="X28" s="24">
        <v>0.0</v>
      </c>
      <c r="Y28" s="24">
        <v>0.0</v>
      </c>
      <c r="Z28" s="24">
        <v>112.3</v>
      </c>
      <c r="AA28" s="24">
        <v>23.1</v>
      </c>
      <c r="AB28" s="25"/>
      <c r="AC28" s="24">
        <v>56.9</v>
      </c>
      <c r="AD28" s="25"/>
      <c r="AE28" s="24">
        <v>1.0579</v>
      </c>
      <c r="AF28" s="24">
        <v>1.29174</v>
      </c>
      <c r="AG28" s="51" t="s">
        <v>108</v>
      </c>
      <c r="AH28" s="51" t="s">
        <v>108</v>
      </c>
      <c r="AI28" s="24">
        <v>1.164502</v>
      </c>
      <c r="AJ28" s="58"/>
      <c r="AM28" s="60">
        <v>0.645</v>
      </c>
      <c r="AN28" s="60">
        <v>0.508</v>
      </c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</row>
    <row r="29">
      <c r="A29" s="51" t="s">
        <v>64</v>
      </c>
      <c r="B29" s="51" t="s">
        <v>104</v>
      </c>
      <c r="C29" s="24">
        <v>1951.0</v>
      </c>
      <c r="D29" s="24">
        <v>0.07468</v>
      </c>
      <c r="E29" s="52">
        <v>15.6</v>
      </c>
      <c r="F29" s="53">
        <f t="shared" si="1"/>
        <v>1.645690301</v>
      </c>
      <c r="G29" s="52">
        <v>4.9</v>
      </c>
      <c r="H29" s="54">
        <f t="shared" si="2"/>
        <v>0.4687413273</v>
      </c>
      <c r="I29" s="52">
        <v>6.9</v>
      </c>
      <c r="J29" s="54">
        <f t="shared" si="3"/>
        <v>0.7651302956</v>
      </c>
      <c r="K29" s="55">
        <v>0.0</v>
      </c>
      <c r="L29" s="54" t="str">
        <f t="shared" si="4"/>
        <v>No Stat</v>
      </c>
      <c r="M29" s="55">
        <v>0.0</v>
      </c>
      <c r="N29" s="56" t="str">
        <f t="shared" si="5"/>
        <v>No Stat</v>
      </c>
      <c r="O29" s="57">
        <v>0.415</v>
      </c>
      <c r="P29" s="24">
        <v>16960.0</v>
      </c>
      <c r="Q29" s="24">
        <v>4786.0</v>
      </c>
      <c r="R29" s="24">
        <v>6955.0</v>
      </c>
      <c r="S29" s="24">
        <v>0.0</v>
      </c>
      <c r="T29" s="24">
        <v>0.0</v>
      </c>
      <c r="U29" s="24">
        <v>18.355</v>
      </c>
      <c r="V29" s="24">
        <v>5.1797</v>
      </c>
      <c r="W29" s="24">
        <v>7.5271</v>
      </c>
      <c r="X29" s="24">
        <v>0.0</v>
      </c>
      <c r="Y29" s="24">
        <v>0.0</v>
      </c>
      <c r="Z29" s="24">
        <v>84.1</v>
      </c>
      <c r="AA29" s="24">
        <v>21.0</v>
      </c>
      <c r="AB29" s="25"/>
      <c r="AC29" s="24">
        <v>49.5</v>
      </c>
      <c r="AD29" s="25"/>
      <c r="AE29" s="24">
        <v>1.4126</v>
      </c>
      <c r="AF29" s="24">
        <v>1.484848</v>
      </c>
      <c r="AG29" s="51" t="s">
        <v>108</v>
      </c>
      <c r="AH29" s="51" t="s">
        <v>108</v>
      </c>
      <c r="AI29" s="24">
        <v>1.280952</v>
      </c>
      <c r="AJ29" s="58"/>
      <c r="AM29" s="60">
        <v>0.564</v>
      </c>
      <c r="AN29" s="60">
        <v>0.49</v>
      </c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</row>
    <row r="30">
      <c r="A30" s="51" t="s">
        <v>64</v>
      </c>
      <c r="B30" s="51" t="s">
        <v>104</v>
      </c>
      <c r="C30" s="24">
        <v>1952.0</v>
      </c>
      <c r="D30" s="24">
        <v>0.07143</v>
      </c>
      <c r="E30" s="52">
        <v>21.7</v>
      </c>
      <c r="F30" s="53">
        <f t="shared" si="1"/>
        <v>2.200114001</v>
      </c>
      <c r="G30" s="52">
        <v>6.7</v>
      </c>
      <c r="H30" s="54">
        <f t="shared" si="2"/>
        <v>0.5878463067</v>
      </c>
      <c r="I30" s="52">
        <v>6.4</v>
      </c>
      <c r="J30" s="54">
        <f t="shared" si="3"/>
        <v>0.6165261588</v>
      </c>
      <c r="K30" s="55">
        <v>0.0</v>
      </c>
      <c r="L30" s="54" t="str">
        <f t="shared" si="4"/>
        <v>No Stat</v>
      </c>
      <c r="M30" s="55">
        <v>0.0</v>
      </c>
      <c r="N30" s="56" t="str">
        <f t="shared" si="5"/>
        <v>No Stat</v>
      </c>
      <c r="O30" s="57">
        <v>0.445</v>
      </c>
      <c r="P30" s="24">
        <v>16960.0</v>
      </c>
      <c r="Q30" s="24">
        <v>4786.0</v>
      </c>
      <c r="R30" s="24">
        <v>6955.0</v>
      </c>
      <c r="S30" s="24">
        <v>0.0</v>
      </c>
      <c r="T30" s="24">
        <v>0.0</v>
      </c>
      <c r="U30" s="24">
        <v>18.355</v>
      </c>
      <c r="V30" s="24">
        <v>5.1797</v>
      </c>
      <c r="W30" s="24">
        <v>7.5271</v>
      </c>
      <c r="X30" s="24">
        <v>0.0</v>
      </c>
      <c r="Y30" s="24">
        <v>0.0</v>
      </c>
      <c r="Z30" s="24">
        <v>83.7</v>
      </c>
      <c r="AA30" s="24">
        <v>21.9</v>
      </c>
      <c r="AB30" s="25"/>
      <c r="AC30" s="24">
        <v>54.5</v>
      </c>
      <c r="AD30" s="25"/>
      <c r="AE30" s="24">
        <v>1.4194</v>
      </c>
      <c r="AF30" s="24">
        <v>1.348624</v>
      </c>
      <c r="AG30" s="51" t="s">
        <v>108</v>
      </c>
      <c r="AH30" s="51" t="s">
        <v>108</v>
      </c>
      <c r="AI30" s="24">
        <v>1.228311</v>
      </c>
      <c r="AJ30" s="58"/>
      <c r="AM30" s="60">
        <v>0.621</v>
      </c>
      <c r="AN30" s="60">
        <v>0.614</v>
      </c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</row>
    <row r="31">
      <c r="A31" s="51" t="s">
        <v>64</v>
      </c>
      <c r="B31" s="51" t="s">
        <v>104</v>
      </c>
      <c r="C31" s="24">
        <v>1953.0</v>
      </c>
      <c r="D31" s="24">
        <v>0.07684</v>
      </c>
      <c r="E31" s="52">
        <v>19.8</v>
      </c>
      <c r="F31" s="53">
        <f t="shared" si="1"/>
        <v>2.185537068</v>
      </c>
      <c r="G31" s="52">
        <v>7.7</v>
      </c>
      <c r="H31" s="54">
        <f t="shared" si="2"/>
        <v>0.7578983079</v>
      </c>
      <c r="I31" s="52">
        <v>6.3</v>
      </c>
      <c r="J31" s="54">
        <f t="shared" si="3"/>
        <v>0.6908883569</v>
      </c>
      <c r="K31" s="55">
        <v>0.0</v>
      </c>
      <c r="L31" s="54" t="str">
        <f t="shared" si="4"/>
        <v>No Stat</v>
      </c>
      <c r="M31" s="55">
        <v>0.0</v>
      </c>
      <c r="N31" s="56" t="str">
        <f t="shared" si="5"/>
        <v>No Stat</v>
      </c>
      <c r="O31" s="57">
        <v>0.446</v>
      </c>
      <c r="P31" s="24">
        <v>16960.0</v>
      </c>
      <c r="Q31" s="24">
        <v>4786.0</v>
      </c>
      <c r="R31" s="24">
        <v>6955.0</v>
      </c>
      <c r="S31" s="24">
        <v>0.0</v>
      </c>
      <c r="T31" s="24">
        <v>0.0</v>
      </c>
      <c r="U31" s="24">
        <v>18.355</v>
      </c>
      <c r="V31" s="24">
        <v>5.1797</v>
      </c>
      <c r="W31" s="24">
        <v>7.5271</v>
      </c>
      <c r="X31" s="24">
        <v>0.0</v>
      </c>
      <c r="Y31" s="24">
        <v>0.0</v>
      </c>
      <c r="Z31" s="24">
        <v>82.7</v>
      </c>
      <c r="AA31" s="24">
        <v>21.0</v>
      </c>
      <c r="AB31" s="25"/>
      <c r="AC31" s="24">
        <v>51.5</v>
      </c>
      <c r="AD31" s="25"/>
      <c r="AE31" s="24">
        <v>1.4365</v>
      </c>
      <c r="AF31" s="24">
        <v>1.427184</v>
      </c>
      <c r="AG31" s="51" t="s">
        <v>108</v>
      </c>
      <c r="AH31" s="51" t="s">
        <v>108</v>
      </c>
      <c r="AI31" s="24">
        <v>1.280952</v>
      </c>
      <c r="AJ31" s="58"/>
      <c r="AM31" s="60">
        <v>0.736</v>
      </c>
      <c r="AN31" s="60">
        <v>0.604</v>
      </c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</row>
    <row r="32">
      <c r="A32" s="51" t="s">
        <v>64</v>
      </c>
      <c r="B32" s="51" t="s">
        <v>104</v>
      </c>
      <c r="C32" s="24">
        <v>1954.0</v>
      </c>
      <c r="D32" s="24">
        <v>0.07792</v>
      </c>
      <c r="E32" s="52">
        <v>19.2</v>
      </c>
      <c r="F32" s="53">
        <f t="shared" si="1"/>
        <v>2.235568435</v>
      </c>
      <c r="G32" s="52">
        <v>7.2</v>
      </c>
      <c r="H32" s="54">
        <f t="shared" si="2"/>
        <v>0.743425806</v>
      </c>
      <c r="I32" s="52">
        <v>5.5</v>
      </c>
      <c r="J32" s="54">
        <f t="shared" si="3"/>
        <v>0.6188440685</v>
      </c>
      <c r="K32" s="55">
        <v>0.0</v>
      </c>
      <c r="L32" s="54" t="str">
        <f t="shared" si="4"/>
        <v>No Stat</v>
      </c>
      <c r="M32" s="55">
        <v>0.0</v>
      </c>
      <c r="N32" s="56" t="str">
        <f t="shared" si="5"/>
        <v>No Stat</v>
      </c>
      <c r="O32" s="57">
        <v>0.464</v>
      </c>
      <c r="P32" s="24">
        <v>16960.0</v>
      </c>
      <c r="Q32" s="24">
        <v>4786.0</v>
      </c>
      <c r="R32" s="24">
        <v>6955.0</v>
      </c>
      <c r="S32" s="24">
        <v>0.0</v>
      </c>
      <c r="T32" s="24">
        <v>0.0</v>
      </c>
      <c r="U32" s="24">
        <v>18.355</v>
      </c>
      <c r="V32" s="24">
        <v>5.1797</v>
      </c>
      <c r="W32" s="24">
        <v>7.5271</v>
      </c>
      <c r="X32" s="24">
        <v>0.0</v>
      </c>
      <c r="Y32" s="24">
        <v>0.0</v>
      </c>
      <c r="Z32" s="24">
        <v>79.5</v>
      </c>
      <c r="AA32" s="24">
        <v>20.3</v>
      </c>
      <c r="AB32" s="25"/>
      <c r="AC32" s="24">
        <v>50.9</v>
      </c>
      <c r="AD32" s="25"/>
      <c r="AE32" s="24">
        <v>1.4943</v>
      </c>
      <c r="AF32" s="24">
        <v>1.444008</v>
      </c>
      <c r="AG32" s="51" t="s">
        <v>108</v>
      </c>
      <c r="AH32" s="51" t="s">
        <v>108</v>
      </c>
      <c r="AI32" s="24">
        <v>1.325123</v>
      </c>
      <c r="AJ32" s="58"/>
      <c r="AM32" s="60">
        <v>0.646</v>
      </c>
      <c r="AN32" s="60">
        <v>0.63</v>
      </c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</row>
    <row r="33">
      <c r="A33" s="51" t="s">
        <v>64</v>
      </c>
      <c r="B33" s="51" t="s">
        <v>104</v>
      </c>
      <c r="C33" s="24">
        <v>1955.0</v>
      </c>
      <c r="D33" s="24">
        <v>0.07684</v>
      </c>
      <c r="E33" s="52">
        <v>21.2</v>
      </c>
      <c r="F33" s="53">
        <f t="shared" si="1"/>
        <v>2.078614208</v>
      </c>
      <c r="G33" s="52">
        <v>7.8</v>
      </c>
      <c r="H33" s="54">
        <f t="shared" si="2"/>
        <v>0.6831599895</v>
      </c>
      <c r="I33" s="52">
        <v>6.0</v>
      </c>
      <c r="J33" s="54">
        <f t="shared" si="3"/>
        <v>0.6040361664</v>
      </c>
      <c r="K33" s="55">
        <v>0.0</v>
      </c>
      <c r="L33" s="54" t="str">
        <f t="shared" si="4"/>
        <v>No Stat</v>
      </c>
      <c r="M33" s="55">
        <v>0.0</v>
      </c>
      <c r="N33" s="56" t="str">
        <f t="shared" si="5"/>
        <v>No Stat</v>
      </c>
      <c r="O33" s="57">
        <v>0.48</v>
      </c>
      <c r="P33" s="24">
        <v>16960.0</v>
      </c>
      <c r="Q33" s="24">
        <v>4786.0</v>
      </c>
      <c r="R33" s="24">
        <v>6955.0</v>
      </c>
      <c r="S33" s="24">
        <v>0.0</v>
      </c>
      <c r="T33" s="24">
        <v>0.0</v>
      </c>
      <c r="U33" s="24">
        <v>18.355</v>
      </c>
      <c r="V33" s="24">
        <v>5.1797</v>
      </c>
      <c r="W33" s="24">
        <v>7.5271</v>
      </c>
      <c r="X33" s="24">
        <v>0.0</v>
      </c>
      <c r="Y33" s="24">
        <v>0.0</v>
      </c>
      <c r="Z33" s="24">
        <v>93.1</v>
      </c>
      <c r="AA33" s="24">
        <v>23.6</v>
      </c>
      <c r="AB33" s="25"/>
      <c r="AC33" s="24">
        <v>56.1</v>
      </c>
      <c r="AD33" s="25"/>
      <c r="AE33" s="24">
        <v>1.276</v>
      </c>
      <c r="AF33" s="24">
        <v>1.31016</v>
      </c>
      <c r="AG33" s="51" t="s">
        <v>108</v>
      </c>
      <c r="AH33" s="51" t="s">
        <v>108</v>
      </c>
      <c r="AI33" s="24">
        <v>1.139831</v>
      </c>
      <c r="AJ33" s="58"/>
      <c r="AM33" s="60">
        <v>0.74</v>
      </c>
      <c r="AN33" s="60">
        <v>0.674</v>
      </c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</row>
    <row r="34">
      <c r="A34" s="51" t="s">
        <v>64</v>
      </c>
      <c r="B34" s="51" t="s">
        <v>104</v>
      </c>
      <c r="C34" s="24">
        <v>1956.0</v>
      </c>
      <c r="D34" s="24">
        <v>0.07792</v>
      </c>
      <c r="E34" s="52">
        <v>18.8</v>
      </c>
      <c r="F34" s="53">
        <f t="shared" si="1"/>
        <v>1.7578752</v>
      </c>
      <c r="G34" s="52">
        <v>8.9</v>
      </c>
      <c r="H34" s="54">
        <f t="shared" si="2"/>
        <v>0.767688442</v>
      </c>
      <c r="I34" s="52">
        <v>6.8</v>
      </c>
      <c r="J34" s="54">
        <f t="shared" si="3"/>
        <v>0.6479937535</v>
      </c>
      <c r="K34" s="55">
        <v>0.0</v>
      </c>
      <c r="L34" s="54" t="str">
        <f t="shared" si="4"/>
        <v>No Stat</v>
      </c>
      <c r="M34" s="55">
        <v>0.0</v>
      </c>
      <c r="N34" s="56" t="str">
        <f t="shared" si="5"/>
        <v>No Stat</v>
      </c>
      <c r="O34" s="57">
        <v>0.461</v>
      </c>
      <c r="P34" s="24">
        <v>16960.0</v>
      </c>
      <c r="Q34" s="24">
        <v>4786.0</v>
      </c>
      <c r="R34" s="24">
        <v>6955.0</v>
      </c>
      <c r="S34" s="24">
        <v>0.0</v>
      </c>
      <c r="T34" s="24">
        <v>0.0</v>
      </c>
      <c r="U34" s="24">
        <v>18.355</v>
      </c>
      <c r="V34" s="24">
        <v>5.1797</v>
      </c>
      <c r="W34" s="24">
        <v>7.5271</v>
      </c>
      <c r="X34" s="24">
        <v>0.0</v>
      </c>
      <c r="Y34" s="24">
        <v>0.0</v>
      </c>
      <c r="Z34" s="24">
        <v>99.0</v>
      </c>
      <c r="AA34" s="24">
        <v>24.3</v>
      </c>
      <c r="AB34" s="25"/>
      <c r="AC34" s="24">
        <v>60.1</v>
      </c>
      <c r="AD34" s="25"/>
      <c r="AE34" s="24">
        <v>1.2</v>
      </c>
      <c r="AF34" s="24">
        <v>1.222962</v>
      </c>
      <c r="AG34" s="51" t="s">
        <v>108</v>
      </c>
      <c r="AH34" s="51" t="s">
        <v>108</v>
      </c>
      <c r="AI34" s="24">
        <v>1.106996</v>
      </c>
      <c r="AJ34" s="58"/>
      <c r="AM34" s="60">
        <v>0.659</v>
      </c>
      <c r="AN34" s="60">
        <v>0.665</v>
      </c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</row>
    <row r="35">
      <c r="A35" s="51" t="s">
        <v>64</v>
      </c>
      <c r="B35" s="51" t="s">
        <v>104</v>
      </c>
      <c r="C35" s="24">
        <v>1957.0</v>
      </c>
      <c r="D35" s="24">
        <v>0.06926</v>
      </c>
      <c r="E35" s="52">
        <v>20.6</v>
      </c>
      <c r="F35" s="53">
        <f t="shared" si="1"/>
        <v>1.701834557</v>
      </c>
      <c r="G35" s="52">
        <v>7.5</v>
      </c>
      <c r="H35" s="54">
        <f t="shared" si="2"/>
        <v>0.739322796</v>
      </c>
      <c r="I35" s="52">
        <v>4.8</v>
      </c>
      <c r="J35" s="54">
        <f t="shared" si="3"/>
        <v>0.3915855125</v>
      </c>
      <c r="K35" s="55">
        <v>0.0</v>
      </c>
      <c r="L35" s="54" t="str">
        <f t="shared" si="4"/>
        <v>No Stat</v>
      </c>
      <c r="M35" s="55">
        <v>0.0</v>
      </c>
      <c r="N35" s="56" t="str">
        <f t="shared" si="5"/>
        <v>No Stat</v>
      </c>
      <c r="O35" s="57">
        <v>0.452</v>
      </c>
      <c r="P35" s="24">
        <v>16960.0</v>
      </c>
      <c r="Q35" s="24">
        <v>4786.0</v>
      </c>
      <c r="R35" s="24">
        <v>6955.0</v>
      </c>
      <c r="S35" s="24">
        <v>0.0</v>
      </c>
      <c r="T35" s="24">
        <v>0.0</v>
      </c>
      <c r="U35" s="24">
        <v>18.355</v>
      </c>
      <c r="V35" s="24">
        <v>5.1797</v>
      </c>
      <c r="W35" s="24">
        <v>7.5271</v>
      </c>
      <c r="X35" s="24">
        <v>0.0</v>
      </c>
      <c r="Y35" s="24">
        <v>0.0</v>
      </c>
      <c r="Z35" s="24">
        <v>99.6</v>
      </c>
      <c r="AA35" s="24">
        <v>18.9</v>
      </c>
      <c r="AB35" s="25"/>
      <c r="AC35" s="24">
        <v>62.4</v>
      </c>
      <c r="AD35" s="25"/>
      <c r="AE35" s="24">
        <v>1.1928</v>
      </c>
      <c r="AF35" s="24">
        <v>1.177885</v>
      </c>
      <c r="AG35" s="51" t="s">
        <v>108</v>
      </c>
      <c r="AH35" s="51" t="s">
        <v>108</v>
      </c>
      <c r="AI35" s="24">
        <v>1.42328</v>
      </c>
      <c r="AJ35" s="58"/>
      <c r="AM35" s="60">
        <v>0.603</v>
      </c>
      <c r="AN35" s="60">
        <v>0.535</v>
      </c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</row>
    <row r="36">
      <c r="A36" s="51" t="s">
        <v>64</v>
      </c>
      <c r="B36" s="51" t="s">
        <v>104</v>
      </c>
      <c r="C36" s="24">
        <v>1958.0</v>
      </c>
      <c r="D36" s="24">
        <v>0.07035</v>
      </c>
      <c r="E36" s="52">
        <v>18.0</v>
      </c>
      <c r="F36" s="53">
        <f t="shared" si="1"/>
        <v>1.41116472</v>
      </c>
      <c r="G36" s="52">
        <v>7.1</v>
      </c>
      <c r="H36" s="54">
        <f t="shared" si="2"/>
        <v>0.6855176888</v>
      </c>
      <c r="I36" s="52">
        <v>5.0</v>
      </c>
      <c r="J36" s="54">
        <f t="shared" si="3"/>
        <v>0.3605806838</v>
      </c>
      <c r="K36" s="55">
        <v>0.0</v>
      </c>
      <c r="L36" s="54" t="str">
        <f t="shared" si="4"/>
        <v>No Stat</v>
      </c>
      <c r="M36" s="55">
        <v>0.0</v>
      </c>
      <c r="N36" s="56" t="str">
        <f t="shared" si="5"/>
        <v>No Stat</v>
      </c>
      <c r="O36" s="57">
        <v>0.415</v>
      </c>
      <c r="P36" s="24">
        <v>16960.0</v>
      </c>
      <c r="Q36" s="24">
        <v>4786.0</v>
      </c>
      <c r="R36" s="24">
        <v>6955.0</v>
      </c>
      <c r="S36" s="24">
        <v>0.0</v>
      </c>
      <c r="T36" s="24">
        <v>0.0</v>
      </c>
      <c r="U36" s="24">
        <v>18.355</v>
      </c>
      <c r="V36" s="24">
        <v>5.1797</v>
      </c>
      <c r="W36" s="24">
        <v>7.5271</v>
      </c>
      <c r="X36" s="24">
        <v>0.0</v>
      </c>
      <c r="Y36" s="24">
        <v>0.0</v>
      </c>
      <c r="Z36" s="24">
        <v>106.6</v>
      </c>
      <c r="AA36" s="24">
        <v>19.6</v>
      </c>
      <c r="AB36" s="25"/>
      <c r="AC36" s="24">
        <v>71.7</v>
      </c>
      <c r="AD36" s="25"/>
      <c r="AE36" s="24">
        <v>1.1144</v>
      </c>
      <c r="AF36" s="24">
        <v>1.025105</v>
      </c>
      <c r="AG36" s="51" t="s">
        <v>108</v>
      </c>
      <c r="AH36" s="51" t="s">
        <v>108</v>
      </c>
      <c r="AI36" s="24">
        <v>1.372449</v>
      </c>
      <c r="AJ36" s="58"/>
      <c r="AM36" s="60">
        <v>0.679</v>
      </c>
      <c r="AN36" s="60">
        <v>0.597</v>
      </c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</row>
    <row r="37">
      <c r="A37" s="51" t="s">
        <v>64</v>
      </c>
      <c r="B37" s="51" t="s">
        <v>104</v>
      </c>
      <c r="C37" s="24">
        <v>1959.0</v>
      </c>
      <c r="D37" s="24">
        <v>0.07035</v>
      </c>
      <c r="E37" s="52">
        <v>20.0</v>
      </c>
      <c r="F37" s="53">
        <f t="shared" si="1"/>
        <v>1.544886</v>
      </c>
      <c r="G37" s="52">
        <v>8.6</v>
      </c>
      <c r="H37" s="54">
        <f t="shared" si="2"/>
        <v>0.8303453695</v>
      </c>
      <c r="I37" s="52">
        <v>5.5</v>
      </c>
      <c r="J37" s="54">
        <f t="shared" si="3"/>
        <v>0.40627125</v>
      </c>
      <c r="K37" s="55">
        <v>0.0</v>
      </c>
      <c r="L37" s="54" t="str">
        <f t="shared" si="4"/>
        <v>No Stat</v>
      </c>
      <c r="M37" s="55">
        <v>0.0</v>
      </c>
      <c r="N37" s="56" t="str">
        <f t="shared" si="5"/>
        <v>No Stat</v>
      </c>
      <c r="O37" s="57">
        <v>0.454</v>
      </c>
      <c r="P37" s="24">
        <v>16960.0</v>
      </c>
      <c r="Q37" s="24">
        <v>4786.0</v>
      </c>
      <c r="R37" s="24">
        <v>6955.0</v>
      </c>
      <c r="S37" s="24">
        <v>0.0</v>
      </c>
      <c r="T37" s="24">
        <v>0.0</v>
      </c>
      <c r="U37" s="24">
        <v>18.355</v>
      </c>
      <c r="V37" s="24">
        <v>5.1797</v>
      </c>
      <c r="W37" s="24">
        <v>7.5271</v>
      </c>
      <c r="X37" s="24">
        <v>0.0</v>
      </c>
      <c r="Y37" s="24">
        <v>0.0</v>
      </c>
      <c r="Z37" s="24">
        <v>108.2</v>
      </c>
      <c r="AA37" s="24">
        <v>19.6</v>
      </c>
      <c r="AB37" s="25"/>
      <c r="AC37" s="24">
        <v>70.0</v>
      </c>
      <c r="AD37" s="25"/>
      <c r="AE37" s="24">
        <v>1.098</v>
      </c>
      <c r="AF37" s="24">
        <v>1.05</v>
      </c>
      <c r="AG37" s="51" t="s">
        <v>108</v>
      </c>
      <c r="AH37" s="51" t="s">
        <v>108</v>
      </c>
      <c r="AI37" s="24">
        <v>1.372449</v>
      </c>
      <c r="AJ37" s="58"/>
      <c r="AM37" s="60">
        <v>0.642</v>
      </c>
      <c r="AN37" s="60">
        <v>0.671</v>
      </c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</row>
    <row r="38">
      <c r="A38" s="51" t="s">
        <v>64</v>
      </c>
      <c r="B38" s="51" t="s">
        <v>104</v>
      </c>
      <c r="C38" s="24">
        <v>1960.0</v>
      </c>
      <c r="D38" s="24">
        <v>0.08117</v>
      </c>
      <c r="E38" s="52">
        <v>19.4</v>
      </c>
      <c r="F38" s="53">
        <f t="shared" si="1"/>
        <v>1.622568819</v>
      </c>
      <c r="G38" s="52">
        <v>9.5</v>
      </c>
      <c r="H38" s="54">
        <f t="shared" si="2"/>
        <v>0.9178311955</v>
      </c>
      <c r="I38" s="52">
        <v>4.7</v>
      </c>
      <c r="J38" s="54">
        <f t="shared" si="3"/>
        <v>0.381499</v>
      </c>
      <c r="K38" s="55">
        <v>0.0</v>
      </c>
      <c r="L38" s="54" t="str">
        <f t="shared" si="4"/>
        <v>No Stat</v>
      </c>
      <c r="M38" s="55">
        <v>0.0</v>
      </c>
      <c r="N38" s="56" t="str">
        <f t="shared" si="5"/>
        <v>No Stat</v>
      </c>
      <c r="O38" s="57">
        <v>0.439</v>
      </c>
      <c r="P38" s="24">
        <v>16960.0</v>
      </c>
      <c r="Q38" s="24">
        <v>4786.0</v>
      </c>
      <c r="R38" s="24">
        <v>6955.0</v>
      </c>
      <c r="S38" s="24">
        <v>0.0</v>
      </c>
      <c r="T38" s="24">
        <v>0.0</v>
      </c>
      <c r="U38" s="24">
        <v>18.355</v>
      </c>
      <c r="V38" s="24">
        <v>5.1797</v>
      </c>
      <c r="W38" s="24">
        <v>7.5271</v>
      </c>
      <c r="X38" s="24">
        <v>0.0</v>
      </c>
      <c r="Y38" s="24">
        <v>0.0</v>
      </c>
      <c r="Z38" s="24">
        <v>115.3</v>
      </c>
      <c r="AA38" s="24">
        <v>22.6</v>
      </c>
      <c r="AB38" s="25"/>
      <c r="AC38" s="24">
        <v>73.5</v>
      </c>
      <c r="AD38" s="25"/>
      <c r="AE38" s="24">
        <v>1.0304</v>
      </c>
      <c r="AF38" s="24">
        <v>1.0</v>
      </c>
      <c r="AG38" s="51" t="s">
        <v>108</v>
      </c>
      <c r="AH38" s="51" t="s">
        <v>108</v>
      </c>
      <c r="AI38" s="24">
        <v>1.190265</v>
      </c>
      <c r="AJ38" s="58"/>
      <c r="AM38" s="60">
        <v>0.719</v>
      </c>
      <c r="AN38" s="60">
        <v>0.6255</v>
      </c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</row>
    <row r="39">
      <c r="A39" s="51" t="s">
        <v>64</v>
      </c>
      <c r="B39" s="51" t="s">
        <v>104</v>
      </c>
      <c r="C39" s="24">
        <v>1961.0</v>
      </c>
      <c r="D39" s="24">
        <v>0.08225</v>
      </c>
      <c r="E39" s="52">
        <v>18.1</v>
      </c>
      <c r="F39" s="53">
        <f t="shared" si="1"/>
        <v>1.497508478</v>
      </c>
      <c r="G39" s="52">
        <v>7.7</v>
      </c>
      <c r="H39" s="54">
        <f t="shared" si="2"/>
        <v>0.7039850703</v>
      </c>
      <c r="I39" s="52">
        <v>4.4</v>
      </c>
      <c r="J39" s="54">
        <f t="shared" si="3"/>
        <v>0.3628876251</v>
      </c>
      <c r="K39" s="55">
        <v>0.0</v>
      </c>
      <c r="L39" s="54" t="str">
        <f t="shared" si="4"/>
        <v>No Stat</v>
      </c>
      <c r="M39" s="55">
        <v>0.0</v>
      </c>
      <c r="N39" s="56" t="str">
        <f t="shared" si="5"/>
        <v>No Stat</v>
      </c>
      <c r="O39" s="57">
        <v>0.436</v>
      </c>
      <c r="P39" s="24">
        <v>16960.0</v>
      </c>
      <c r="Q39" s="24">
        <v>4786.0</v>
      </c>
      <c r="R39" s="24">
        <v>6955.0</v>
      </c>
      <c r="S39" s="24">
        <v>0.0</v>
      </c>
      <c r="T39" s="24">
        <v>0.0</v>
      </c>
      <c r="U39" s="24">
        <v>18.355</v>
      </c>
      <c r="V39" s="24">
        <v>5.1797</v>
      </c>
      <c r="W39" s="24">
        <v>7.5271</v>
      </c>
      <c r="X39" s="24">
        <v>0.0</v>
      </c>
      <c r="Y39" s="24">
        <v>0.0</v>
      </c>
      <c r="Z39" s="24">
        <v>118.1</v>
      </c>
      <c r="AA39" s="24">
        <v>24.2</v>
      </c>
      <c r="AB39" s="25"/>
      <c r="AC39" s="24">
        <v>73.3</v>
      </c>
      <c r="AD39" s="25"/>
      <c r="AE39" s="24">
        <v>1.0059</v>
      </c>
      <c r="AF39" s="24">
        <v>1.002729</v>
      </c>
      <c r="AG39" s="51" t="s">
        <v>108</v>
      </c>
      <c r="AH39" s="51" t="s">
        <v>108</v>
      </c>
      <c r="AI39" s="24">
        <v>1.11157</v>
      </c>
      <c r="AJ39" s="58"/>
      <c r="AM39" s="60">
        <v>0.643</v>
      </c>
      <c r="AN39" s="60">
        <v>0.543</v>
      </c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</row>
    <row r="40">
      <c r="A40" s="51" t="s">
        <v>64</v>
      </c>
      <c r="B40" s="51" t="s">
        <v>104</v>
      </c>
      <c r="C40" s="24">
        <v>1962.0</v>
      </c>
      <c r="D40" s="24">
        <v>0.08117</v>
      </c>
      <c r="E40" s="52">
        <v>15.7</v>
      </c>
      <c r="F40" s="53">
        <f t="shared" si="1"/>
        <v>1.274369</v>
      </c>
      <c r="G40" s="52">
        <v>7.8</v>
      </c>
      <c r="H40" s="54">
        <f t="shared" si="2"/>
        <v>0.7125978749</v>
      </c>
      <c r="I40" s="52">
        <v>3.5</v>
      </c>
      <c r="J40" s="54">
        <f t="shared" si="3"/>
        <v>0.2924508021</v>
      </c>
      <c r="K40" s="55">
        <v>0.0</v>
      </c>
      <c r="L40" s="54" t="str">
        <f t="shared" si="4"/>
        <v>No Stat</v>
      </c>
      <c r="M40" s="55">
        <v>0.0</v>
      </c>
      <c r="N40" s="56" t="str">
        <f t="shared" si="5"/>
        <v>No Stat</v>
      </c>
      <c r="O40" s="57">
        <v>0.443</v>
      </c>
      <c r="P40" s="24">
        <v>16960.0</v>
      </c>
      <c r="Q40" s="24">
        <v>4786.0</v>
      </c>
      <c r="R40" s="24">
        <v>6955.0</v>
      </c>
      <c r="S40" s="24">
        <v>0.0</v>
      </c>
      <c r="T40" s="24">
        <v>0.0</v>
      </c>
      <c r="U40" s="24">
        <v>18.355</v>
      </c>
      <c r="V40" s="24">
        <v>5.1797</v>
      </c>
      <c r="W40" s="24">
        <v>7.5271</v>
      </c>
      <c r="X40" s="24">
        <v>0.0</v>
      </c>
      <c r="Y40" s="24">
        <v>0.0</v>
      </c>
      <c r="Z40" s="24">
        <v>118.8</v>
      </c>
      <c r="AA40" s="24">
        <v>23.9</v>
      </c>
      <c r="AB40" s="25"/>
      <c r="AC40" s="24">
        <v>71.4</v>
      </c>
      <c r="AD40" s="25"/>
      <c r="AE40" s="24">
        <v>1.0</v>
      </c>
      <c r="AF40" s="24">
        <v>1.029412</v>
      </c>
      <c r="AG40" s="51" t="s">
        <v>108</v>
      </c>
      <c r="AH40" s="51" t="s">
        <v>108</v>
      </c>
      <c r="AI40" s="24">
        <v>1.125523</v>
      </c>
      <c r="AJ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</row>
    <row r="41">
      <c r="A41" s="51" t="s">
        <v>64</v>
      </c>
      <c r="B41" s="51" t="s">
        <v>104</v>
      </c>
      <c r="C41" s="24">
        <v>1963.0</v>
      </c>
      <c r="D41" s="24">
        <v>0.08225</v>
      </c>
      <c r="E41" s="52">
        <v>13.2</v>
      </c>
      <c r="F41" s="53">
        <f t="shared" si="1"/>
        <v>1.11870528</v>
      </c>
      <c r="G41" s="52">
        <v>6.8</v>
      </c>
      <c r="H41" s="54">
        <f t="shared" si="2"/>
        <v>0.6627828046</v>
      </c>
      <c r="I41" s="52">
        <v>2.5</v>
      </c>
      <c r="J41" s="54">
        <f t="shared" si="3"/>
        <v>0.2265882631</v>
      </c>
      <c r="K41" s="55">
        <v>0.0</v>
      </c>
      <c r="L41" s="54" t="str">
        <f t="shared" si="4"/>
        <v>No Stat</v>
      </c>
      <c r="M41" s="55">
        <v>0.0</v>
      </c>
      <c r="N41" s="56" t="str">
        <f t="shared" si="5"/>
        <v>No Stat</v>
      </c>
      <c r="O41" s="57">
        <v>0.448</v>
      </c>
      <c r="P41" s="24">
        <v>16960.0</v>
      </c>
      <c r="Q41" s="24">
        <v>4786.0</v>
      </c>
      <c r="R41" s="24">
        <v>6955.0</v>
      </c>
      <c r="S41" s="24">
        <v>0.0</v>
      </c>
      <c r="T41" s="24">
        <v>0.0</v>
      </c>
      <c r="U41" s="24">
        <v>18.355</v>
      </c>
      <c r="V41" s="24">
        <v>5.1797</v>
      </c>
      <c r="W41" s="24">
        <v>7.5271</v>
      </c>
      <c r="X41" s="24">
        <v>0.0</v>
      </c>
      <c r="Y41" s="24">
        <v>0.0</v>
      </c>
      <c r="Z41" s="24">
        <v>115.3</v>
      </c>
      <c r="AA41" s="24">
        <v>22.7</v>
      </c>
      <c r="AB41" s="25"/>
      <c r="AC41" s="24">
        <v>66.7</v>
      </c>
      <c r="AD41" s="25"/>
      <c r="AE41" s="24">
        <v>1.0304</v>
      </c>
      <c r="AF41" s="24">
        <v>1.101949</v>
      </c>
      <c r="AG41" s="51" t="s">
        <v>108</v>
      </c>
      <c r="AH41" s="51" t="s">
        <v>108</v>
      </c>
      <c r="AI41" s="24">
        <v>1.185022</v>
      </c>
      <c r="AJ41" s="58"/>
      <c r="AK41" s="61" t="s">
        <v>67</v>
      </c>
      <c r="AL41" s="58"/>
      <c r="AM41" s="60">
        <v>0.573</v>
      </c>
      <c r="AN41" s="60">
        <v>0.524</v>
      </c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</row>
    <row r="42">
      <c r="A42" s="51" t="s">
        <v>64</v>
      </c>
      <c r="B42" s="51" t="s">
        <v>104</v>
      </c>
      <c r="C42" s="24">
        <v>1970.0</v>
      </c>
      <c r="D42" s="24">
        <v>0.00758</v>
      </c>
      <c r="E42" s="52">
        <v>0.7</v>
      </c>
      <c r="F42" s="53">
        <f t="shared" si="1"/>
        <v>0.005401508</v>
      </c>
      <c r="G42" s="52">
        <v>1.4</v>
      </c>
      <c r="H42" s="54">
        <f t="shared" si="2"/>
        <v>0.01155720023</v>
      </c>
      <c r="I42" s="52">
        <v>0.7</v>
      </c>
      <c r="J42" s="54">
        <f t="shared" si="3"/>
        <v>0.007372230684</v>
      </c>
      <c r="K42" s="55">
        <v>0.0</v>
      </c>
      <c r="L42" s="54" t="str">
        <f t="shared" si="4"/>
        <v>No Stat</v>
      </c>
      <c r="M42" s="55">
        <v>0.0</v>
      </c>
      <c r="N42" s="56" t="str">
        <f t="shared" si="5"/>
        <v>No Stat</v>
      </c>
      <c r="O42" s="57">
        <v>0.579</v>
      </c>
      <c r="P42" s="24">
        <v>16960.0</v>
      </c>
      <c r="Q42" s="24">
        <v>4786.0</v>
      </c>
      <c r="R42" s="24">
        <v>6955.0</v>
      </c>
      <c r="S42" s="24">
        <v>0.0</v>
      </c>
      <c r="T42" s="24">
        <v>0.0</v>
      </c>
      <c r="U42" s="24">
        <v>18.355</v>
      </c>
      <c r="V42" s="24">
        <v>5.1797</v>
      </c>
      <c r="W42" s="24">
        <v>7.5271</v>
      </c>
      <c r="X42" s="24">
        <v>0.0</v>
      </c>
      <c r="Y42" s="24">
        <v>0.0</v>
      </c>
      <c r="Z42" s="24">
        <v>116.7</v>
      </c>
      <c r="AA42" s="24">
        <v>24.7</v>
      </c>
      <c r="AB42" s="25"/>
      <c r="AC42" s="24">
        <v>52.9</v>
      </c>
      <c r="AD42" s="25"/>
      <c r="AE42" s="24">
        <v>1.018</v>
      </c>
      <c r="AF42" s="24">
        <v>1.389414</v>
      </c>
      <c r="AG42" s="51" t="s">
        <v>108</v>
      </c>
      <c r="AH42" s="51" t="s">
        <v>108</v>
      </c>
      <c r="AI42" s="24">
        <v>1.089069</v>
      </c>
      <c r="AJ42" s="58"/>
      <c r="AK42" s="38" t="s">
        <v>110</v>
      </c>
      <c r="AL42" s="58"/>
      <c r="AM42" s="60">
        <v>0.607</v>
      </c>
      <c r="AN42" s="60">
        <v>0.542</v>
      </c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</row>
    <row r="43">
      <c r="A43" s="51" t="s">
        <v>58</v>
      </c>
      <c r="B43" s="51" t="s">
        <v>104</v>
      </c>
      <c r="C43" s="24">
        <v>2006.0</v>
      </c>
      <c r="D43" s="24">
        <v>0.05923</v>
      </c>
      <c r="E43" s="52">
        <v>16.1</v>
      </c>
      <c r="F43" s="53">
        <f t="shared" si="1"/>
        <v>1.167877594</v>
      </c>
      <c r="G43" s="52">
        <v>7.8</v>
      </c>
      <c r="H43" s="54">
        <f t="shared" si="2"/>
        <v>0.6032833151</v>
      </c>
      <c r="I43" s="52">
        <v>5.1</v>
      </c>
      <c r="J43" s="54">
        <f t="shared" si="3"/>
        <v>0.5415211319</v>
      </c>
      <c r="K43" s="55">
        <v>3.365384615</v>
      </c>
      <c r="L43" s="54">
        <f t="shared" si="4"/>
        <v>0.2657755746</v>
      </c>
      <c r="M43" s="55">
        <v>0.115384615</v>
      </c>
      <c r="N43" s="56">
        <f t="shared" si="5"/>
        <v>0.008142910758</v>
      </c>
      <c r="O43" s="57">
        <v>0.546</v>
      </c>
      <c r="P43" s="24">
        <v>22714.0</v>
      </c>
      <c r="Q43" s="24">
        <v>5869.0</v>
      </c>
      <c r="R43" s="24">
        <v>12263.0</v>
      </c>
      <c r="S43" s="24">
        <v>210.0</v>
      </c>
      <c r="T43" s="24">
        <v>2672.0</v>
      </c>
      <c r="U43" s="24">
        <v>17.2468</v>
      </c>
      <c r="V43" s="24">
        <v>4.4563</v>
      </c>
      <c r="W43" s="24">
        <v>9.3113</v>
      </c>
      <c r="X43" s="24">
        <v>0.1595</v>
      </c>
      <c r="Y43" s="24">
        <v>2.0289</v>
      </c>
      <c r="Z43" s="24">
        <v>97.0</v>
      </c>
      <c r="AA43" s="24">
        <v>20.6</v>
      </c>
      <c r="AB43" s="24">
        <v>4.7</v>
      </c>
      <c r="AC43" s="24">
        <v>41.0</v>
      </c>
      <c r="AD43" s="24">
        <v>7.2</v>
      </c>
      <c r="AE43" s="24">
        <v>1.2247</v>
      </c>
      <c r="AF43" s="24">
        <v>1.792683</v>
      </c>
      <c r="AG43" s="24">
        <v>1.333333</v>
      </c>
      <c r="AH43" s="24">
        <v>1.191489</v>
      </c>
      <c r="AI43" s="24">
        <v>1.305825</v>
      </c>
      <c r="AJ43" s="58"/>
      <c r="AK43" s="62" t="s">
        <v>68</v>
      </c>
      <c r="AL43" s="58"/>
      <c r="AM43" s="60">
        <v>0.546</v>
      </c>
      <c r="AN43" s="60">
        <v>0.516</v>
      </c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</row>
    <row r="44">
      <c r="A44" s="51" t="s">
        <v>58</v>
      </c>
      <c r="B44" s="51" t="s">
        <v>104</v>
      </c>
      <c r="C44" s="24">
        <v>2007.0</v>
      </c>
      <c r="D44" s="24">
        <v>0.0486</v>
      </c>
      <c r="E44" s="52">
        <v>17.3</v>
      </c>
      <c r="F44" s="53">
        <f t="shared" si="1"/>
        <v>1.011962808</v>
      </c>
      <c r="G44" s="52">
        <v>8.9</v>
      </c>
      <c r="H44" s="54">
        <f t="shared" si="2"/>
        <v>0.5462595239</v>
      </c>
      <c r="I44" s="52">
        <v>4.4</v>
      </c>
      <c r="J44" s="54">
        <f t="shared" si="3"/>
        <v>0.3824145626</v>
      </c>
      <c r="K44" s="55">
        <v>2.765625</v>
      </c>
      <c r="L44" s="54">
        <f t="shared" si="4"/>
        <v>0.1792124552</v>
      </c>
      <c r="M44" s="55">
        <v>0.0703125</v>
      </c>
      <c r="N44" s="56">
        <f t="shared" si="5"/>
        <v>0.004160053308</v>
      </c>
      <c r="O44" s="57">
        <v>0.537</v>
      </c>
      <c r="P44" s="24">
        <v>22714.0</v>
      </c>
      <c r="Q44" s="24">
        <v>5869.0</v>
      </c>
      <c r="R44" s="24">
        <v>12263.0</v>
      </c>
      <c r="S44" s="24">
        <v>210.0</v>
      </c>
      <c r="T44" s="24">
        <v>2672.0</v>
      </c>
      <c r="U44" s="24">
        <v>17.2468</v>
      </c>
      <c r="V44" s="24">
        <v>4.4563</v>
      </c>
      <c r="W44" s="24">
        <v>9.3113</v>
      </c>
      <c r="X44" s="24">
        <v>0.1595</v>
      </c>
      <c r="Y44" s="24">
        <v>2.0289</v>
      </c>
      <c r="Z44" s="24">
        <v>98.7</v>
      </c>
      <c r="AA44" s="24">
        <v>21.3</v>
      </c>
      <c r="AB44" s="24">
        <v>4.6</v>
      </c>
      <c r="AC44" s="24">
        <v>41.1</v>
      </c>
      <c r="AD44" s="24">
        <v>7.2</v>
      </c>
      <c r="AE44" s="24">
        <v>1.2036</v>
      </c>
      <c r="AF44" s="24">
        <v>1.788321</v>
      </c>
      <c r="AG44" s="24">
        <v>1.333333</v>
      </c>
      <c r="AH44" s="24">
        <v>1.217391</v>
      </c>
      <c r="AI44" s="24">
        <v>1.262911</v>
      </c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</row>
    <row r="45">
      <c r="A45" s="51" t="s">
        <v>58</v>
      </c>
      <c r="B45" s="51" t="s">
        <v>104</v>
      </c>
      <c r="C45" s="24">
        <v>2008.0</v>
      </c>
      <c r="D45" s="24">
        <v>0.06074</v>
      </c>
      <c r="E45" s="52">
        <v>21.1</v>
      </c>
      <c r="F45" s="53">
        <f t="shared" si="1"/>
        <v>1.524095369</v>
      </c>
      <c r="G45" s="52">
        <v>11.6</v>
      </c>
      <c r="H45" s="54">
        <f t="shared" si="2"/>
        <v>0.8694179039</v>
      </c>
      <c r="I45" s="52">
        <v>4.0</v>
      </c>
      <c r="J45" s="54">
        <f t="shared" si="3"/>
        <v>0.42518</v>
      </c>
      <c r="K45" s="55">
        <v>4.06875</v>
      </c>
      <c r="L45" s="54">
        <f t="shared" si="4"/>
        <v>0.3250004809</v>
      </c>
      <c r="M45" s="55">
        <v>0.075</v>
      </c>
      <c r="N45" s="56">
        <f t="shared" si="5"/>
        <v>0.00542782814</v>
      </c>
      <c r="O45" s="57">
        <v>0.576</v>
      </c>
      <c r="P45" s="24">
        <v>22714.0</v>
      </c>
      <c r="Q45" s="24">
        <v>5869.0</v>
      </c>
      <c r="R45" s="24">
        <v>12263.0</v>
      </c>
      <c r="S45" s="24">
        <v>210.0</v>
      </c>
      <c r="T45" s="24">
        <v>2672.0</v>
      </c>
      <c r="U45" s="24">
        <v>17.2468</v>
      </c>
      <c r="V45" s="24">
        <v>4.4563</v>
      </c>
      <c r="W45" s="24">
        <v>9.3113</v>
      </c>
      <c r="X45" s="24">
        <v>0.1595</v>
      </c>
      <c r="Y45" s="24">
        <v>2.0289</v>
      </c>
      <c r="Z45" s="24">
        <v>99.9</v>
      </c>
      <c r="AA45" s="24">
        <v>21.8</v>
      </c>
      <c r="AB45" s="24">
        <v>4.7</v>
      </c>
      <c r="AC45" s="24">
        <v>42.0</v>
      </c>
      <c r="AD45" s="24">
        <v>7.3</v>
      </c>
      <c r="AE45" s="24">
        <v>1.1892</v>
      </c>
      <c r="AF45" s="24">
        <v>1.75</v>
      </c>
      <c r="AG45" s="24">
        <v>1.315068</v>
      </c>
      <c r="AH45" s="24">
        <v>1.191489</v>
      </c>
      <c r="AI45" s="24">
        <v>1.233945</v>
      </c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</row>
    <row r="46">
      <c r="A46" s="51" t="s">
        <v>58</v>
      </c>
      <c r="B46" s="51" t="s">
        <v>104</v>
      </c>
      <c r="C46" s="24">
        <v>2009.0</v>
      </c>
      <c r="D46" s="24">
        <v>0.05923</v>
      </c>
      <c r="E46" s="52">
        <v>22.8</v>
      </c>
      <c r="F46" s="53">
        <f t="shared" si="1"/>
        <v>1.604327472</v>
      </c>
      <c r="G46" s="52">
        <v>11.0</v>
      </c>
      <c r="H46" s="54">
        <f t="shared" si="2"/>
        <v>0.8345786566</v>
      </c>
      <c r="I46" s="52">
        <v>5.5</v>
      </c>
      <c r="J46" s="54">
        <f t="shared" si="3"/>
        <v>0.5797512657</v>
      </c>
      <c r="K46" s="55">
        <v>4.153846154</v>
      </c>
      <c r="L46" s="54">
        <f t="shared" si="4"/>
        <v>0.3235492148</v>
      </c>
      <c r="M46" s="55">
        <v>0.192307692</v>
      </c>
      <c r="N46" s="56">
        <f t="shared" si="5"/>
        <v>0.01328878583</v>
      </c>
      <c r="O46" s="57">
        <v>0.599</v>
      </c>
      <c r="P46" s="24">
        <v>22714.0</v>
      </c>
      <c r="Q46" s="24">
        <v>5869.0</v>
      </c>
      <c r="R46" s="24">
        <v>12263.0</v>
      </c>
      <c r="S46" s="24">
        <v>210.0</v>
      </c>
      <c r="T46" s="24">
        <v>2672.0</v>
      </c>
      <c r="U46" s="24">
        <v>17.2468</v>
      </c>
      <c r="V46" s="24">
        <v>4.4563</v>
      </c>
      <c r="W46" s="24">
        <v>9.3113</v>
      </c>
      <c r="X46" s="24">
        <v>0.1595</v>
      </c>
      <c r="Y46" s="24">
        <v>2.0289</v>
      </c>
      <c r="Z46" s="24">
        <v>100.0</v>
      </c>
      <c r="AA46" s="24">
        <v>21.0</v>
      </c>
      <c r="AB46" s="24">
        <v>4.8</v>
      </c>
      <c r="AC46" s="24">
        <v>41.3</v>
      </c>
      <c r="AD46" s="24">
        <v>7.3</v>
      </c>
      <c r="AE46" s="24">
        <v>1.188</v>
      </c>
      <c r="AF46" s="24">
        <v>1.779661</v>
      </c>
      <c r="AG46" s="24">
        <v>1.315068</v>
      </c>
      <c r="AH46" s="24">
        <v>1.166667</v>
      </c>
      <c r="AI46" s="24">
        <v>1.280952</v>
      </c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</row>
    <row r="47">
      <c r="A47" s="51" t="s">
        <v>58</v>
      </c>
      <c r="B47" s="51" t="s">
        <v>104</v>
      </c>
      <c r="C47" s="24">
        <v>2010.0</v>
      </c>
      <c r="D47" s="24">
        <v>0.03417</v>
      </c>
      <c r="E47" s="52">
        <v>18.7</v>
      </c>
      <c r="F47" s="53">
        <f t="shared" si="1"/>
        <v>0.7561038507</v>
      </c>
      <c r="G47" s="52">
        <v>10.7</v>
      </c>
      <c r="H47" s="54">
        <f t="shared" si="2"/>
        <v>0.4639222493</v>
      </c>
      <c r="I47" s="52">
        <v>4.2</v>
      </c>
      <c r="J47" s="54">
        <f t="shared" si="3"/>
        <v>0.2529563413</v>
      </c>
      <c r="K47" s="55">
        <v>3.2</v>
      </c>
      <c r="L47" s="54">
        <f t="shared" si="4"/>
        <v>0.1457919636</v>
      </c>
      <c r="M47" s="55">
        <v>0.266666667</v>
      </c>
      <c r="N47" s="56">
        <f t="shared" si="5"/>
        <v>0.010413713</v>
      </c>
      <c r="O47" s="57">
        <v>0.584</v>
      </c>
      <c r="P47" s="24">
        <v>22714.0</v>
      </c>
      <c r="Q47" s="24">
        <v>5869.0</v>
      </c>
      <c r="R47" s="24">
        <v>12263.0</v>
      </c>
      <c r="S47" s="24">
        <v>210.0</v>
      </c>
      <c r="T47" s="24">
        <v>2672.0</v>
      </c>
      <c r="U47" s="24">
        <v>17.2468</v>
      </c>
      <c r="V47" s="24">
        <v>4.4563</v>
      </c>
      <c r="W47" s="24">
        <v>9.3113</v>
      </c>
      <c r="X47" s="24">
        <v>0.1595</v>
      </c>
      <c r="Y47" s="24">
        <v>2.0289</v>
      </c>
      <c r="Z47" s="24">
        <v>100.4</v>
      </c>
      <c r="AA47" s="24">
        <v>21.2</v>
      </c>
      <c r="AB47" s="24">
        <v>4.9</v>
      </c>
      <c r="AC47" s="24">
        <v>41.7</v>
      </c>
      <c r="AD47" s="24">
        <v>7.2</v>
      </c>
      <c r="AE47" s="24">
        <v>1.1833</v>
      </c>
      <c r="AF47" s="24">
        <v>1.76259</v>
      </c>
      <c r="AG47" s="24">
        <v>1.333333</v>
      </c>
      <c r="AH47" s="24">
        <v>1.142857</v>
      </c>
      <c r="AI47" s="24">
        <v>1.268868</v>
      </c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</row>
    <row r="48">
      <c r="A48" s="51" t="s">
        <v>58</v>
      </c>
      <c r="B48" s="51" t="s">
        <v>104</v>
      </c>
      <c r="C48" s="24">
        <v>2011.0</v>
      </c>
      <c r="D48" s="24">
        <v>0.06074</v>
      </c>
      <c r="E48" s="52">
        <v>15.9</v>
      </c>
      <c r="F48" s="53">
        <f t="shared" si="1"/>
        <v>1.151965685</v>
      </c>
      <c r="G48" s="52">
        <v>9.8</v>
      </c>
      <c r="H48" s="54">
        <f t="shared" si="2"/>
        <v>0.7447572781</v>
      </c>
      <c r="I48" s="52">
        <v>4.1</v>
      </c>
      <c r="J48" s="54">
        <f t="shared" si="3"/>
        <v>0.4421255003</v>
      </c>
      <c r="K48" s="55">
        <v>3.525</v>
      </c>
      <c r="L48" s="54">
        <f t="shared" si="4"/>
        <v>0.2815672369</v>
      </c>
      <c r="M48" s="55">
        <v>0.09375</v>
      </c>
      <c r="N48" s="56">
        <f t="shared" si="5"/>
        <v>0.006507856329</v>
      </c>
      <c r="O48" s="57">
        <v>0.578</v>
      </c>
      <c r="P48" s="24">
        <v>22714.0</v>
      </c>
      <c r="Q48" s="24">
        <v>5869.0</v>
      </c>
      <c r="R48" s="24">
        <v>12263.0</v>
      </c>
      <c r="S48" s="24">
        <v>210.0</v>
      </c>
      <c r="T48" s="24">
        <v>2672.0</v>
      </c>
      <c r="U48" s="24">
        <v>17.2468</v>
      </c>
      <c r="V48" s="24">
        <v>4.4563</v>
      </c>
      <c r="W48" s="24">
        <v>9.3113</v>
      </c>
      <c r="X48" s="24">
        <v>0.1595</v>
      </c>
      <c r="Y48" s="24">
        <v>2.0289</v>
      </c>
      <c r="Z48" s="24">
        <v>99.6</v>
      </c>
      <c r="AA48" s="24">
        <v>21.5</v>
      </c>
      <c r="AB48" s="24">
        <v>4.9</v>
      </c>
      <c r="AC48" s="24">
        <v>41.4</v>
      </c>
      <c r="AD48" s="24">
        <v>7.3</v>
      </c>
      <c r="AE48" s="24">
        <v>1.1928</v>
      </c>
      <c r="AF48" s="24">
        <v>1.775362</v>
      </c>
      <c r="AG48" s="24">
        <v>1.315068</v>
      </c>
      <c r="AH48" s="24">
        <v>1.142857</v>
      </c>
      <c r="AI48" s="24">
        <v>1.251163</v>
      </c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</row>
    <row r="49">
      <c r="A49" s="51" t="s">
        <v>58</v>
      </c>
      <c r="B49" s="51" t="s">
        <v>104</v>
      </c>
      <c r="C49" s="24">
        <v>2012.0</v>
      </c>
      <c r="D49" s="24">
        <v>0.04556</v>
      </c>
      <c r="E49" s="52">
        <v>19.8</v>
      </c>
      <c r="F49" s="53">
        <f t="shared" si="1"/>
        <v>1.112815757</v>
      </c>
      <c r="G49" s="52">
        <v>9.1</v>
      </c>
      <c r="H49" s="54">
        <f t="shared" si="2"/>
        <v>0.5310775754</v>
      </c>
      <c r="I49" s="52">
        <v>3.6</v>
      </c>
      <c r="J49" s="54">
        <f t="shared" si="3"/>
        <v>0.2856676513</v>
      </c>
      <c r="K49" s="55">
        <v>3.8</v>
      </c>
      <c r="L49" s="54">
        <f t="shared" si="4"/>
        <v>0.2158478534</v>
      </c>
      <c r="M49" s="55">
        <v>0.1</v>
      </c>
      <c r="N49" s="56">
        <f t="shared" si="5"/>
        <v>0.005002665684</v>
      </c>
      <c r="O49" s="57">
        <v>0.581</v>
      </c>
      <c r="P49" s="24">
        <v>22714.0</v>
      </c>
      <c r="Q49" s="24">
        <v>5869.0</v>
      </c>
      <c r="R49" s="24">
        <v>12263.0</v>
      </c>
      <c r="S49" s="24">
        <v>210.0</v>
      </c>
      <c r="T49" s="24">
        <v>2672.0</v>
      </c>
      <c r="U49" s="24">
        <v>17.2468</v>
      </c>
      <c r="V49" s="24">
        <v>4.4563</v>
      </c>
      <c r="W49" s="24">
        <v>9.3113</v>
      </c>
      <c r="X49" s="24">
        <v>0.1595</v>
      </c>
      <c r="Y49" s="24">
        <v>2.0289</v>
      </c>
      <c r="Z49" s="24">
        <v>96.3</v>
      </c>
      <c r="AA49" s="24">
        <v>21.0</v>
      </c>
      <c r="AB49" s="24">
        <v>5.1</v>
      </c>
      <c r="AC49" s="24">
        <v>42.2</v>
      </c>
      <c r="AD49" s="24">
        <v>7.7</v>
      </c>
      <c r="AE49" s="24">
        <v>1.2336</v>
      </c>
      <c r="AF49" s="24">
        <v>1.741706</v>
      </c>
      <c r="AG49" s="24">
        <v>1.246753</v>
      </c>
      <c r="AH49" s="24">
        <v>1.098039</v>
      </c>
      <c r="AI49" s="24">
        <v>1.280952</v>
      </c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</row>
    <row r="50">
      <c r="A50" s="51" t="s">
        <v>58</v>
      </c>
      <c r="B50" s="51" t="s">
        <v>104</v>
      </c>
      <c r="C50" s="24">
        <v>2013.0</v>
      </c>
      <c r="D50" s="24">
        <v>0.05315</v>
      </c>
      <c r="E50" s="52">
        <v>16.9</v>
      </c>
      <c r="F50" s="53">
        <f t="shared" si="1"/>
        <v>1.087762585</v>
      </c>
      <c r="G50" s="52">
        <v>9.7</v>
      </c>
      <c r="H50" s="54">
        <f t="shared" si="2"/>
        <v>0.6275309682</v>
      </c>
      <c r="I50" s="52">
        <v>3.7</v>
      </c>
      <c r="J50" s="54">
        <f t="shared" si="3"/>
        <v>0.3433287552</v>
      </c>
      <c r="K50" s="55">
        <v>3.621428571</v>
      </c>
      <c r="L50" s="54">
        <f t="shared" si="4"/>
        <v>0.2368970984</v>
      </c>
      <c r="M50" s="55">
        <v>0.214285714</v>
      </c>
      <c r="N50" s="56">
        <f t="shared" si="5"/>
        <v>0.01250587988</v>
      </c>
      <c r="O50" s="57">
        <v>0.594</v>
      </c>
      <c r="P50" s="24">
        <v>22714.0</v>
      </c>
      <c r="Q50" s="24">
        <v>5869.0</v>
      </c>
      <c r="R50" s="24">
        <v>12263.0</v>
      </c>
      <c r="S50" s="24">
        <v>210.0</v>
      </c>
      <c r="T50" s="24">
        <v>2672.0</v>
      </c>
      <c r="U50" s="24">
        <v>17.2468</v>
      </c>
      <c r="V50" s="24">
        <v>4.4563</v>
      </c>
      <c r="W50" s="24">
        <v>9.3113</v>
      </c>
      <c r="X50" s="24">
        <v>0.1595</v>
      </c>
      <c r="Y50" s="24">
        <v>2.0289</v>
      </c>
      <c r="Z50" s="24">
        <v>98.1</v>
      </c>
      <c r="AA50" s="24">
        <v>22.1</v>
      </c>
      <c r="AB50" s="24">
        <v>5.1</v>
      </c>
      <c r="AC50" s="24">
        <v>42.1</v>
      </c>
      <c r="AD50" s="24">
        <v>7.8</v>
      </c>
      <c r="AE50" s="24">
        <v>1.211</v>
      </c>
      <c r="AF50" s="24">
        <v>1.745843</v>
      </c>
      <c r="AG50" s="24">
        <v>1.230769</v>
      </c>
      <c r="AH50" s="24">
        <v>1.098039</v>
      </c>
      <c r="AI50" s="24">
        <v>1.217195</v>
      </c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</row>
    <row r="51">
      <c r="A51" s="51" t="s">
        <v>58</v>
      </c>
      <c r="B51" s="51" t="s">
        <v>104</v>
      </c>
      <c r="C51" s="24">
        <v>2014.0</v>
      </c>
      <c r="D51" s="24">
        <v>0.04708</v>
      </c>
      <c r="E51" s="52">
        <v>19.1</v>
      </c>
      <c r="F51" s="53">
        <f t="shared" si="1"/>
        <v>1.057671974</v>
      </c>
      <c r="G51" s="52">
        <v>10.7</v>
      </c>
      <c r="H51" s="54">
        <f t="shared" si="2"/>
        <v>0.6159560626</v>
      </c>
      <c r="I51" s="52">
        <v>4.3</v>
      </c>
      <c r="J51" s="54">
        <f t="shared" si="3"/>
        <v>0.3484690841</v>
      </c>
      <c r="K51" s="55">
        <v>3.725806452</v>
      </c>
      <c r="L51" s="54">
        <f t="shared" si="4"/>
        <v>0.2186941503</v>
      </c>
      <c r="M51" s="55">
        <v>0.096774194</v>
      </c>
      <c r="N51" s="56">
        <f t="shared" si="5"/>
        <v>0.00542857765</v>
      </c>
      <c r="O51" s="57">
        <v>0.58</v>
      </c>
      <c r="P51" s="24">
        <v>22714.0</v>
      </c>
      <c r="Q51" s="24">
        <v>5869.0</v>
      </c>
      <c r="R51" s="24">
        <v>12263.0</v>
      </c>
      <c r="S51" s="24">
        <v>210.0</v>
      </c>
      <c r="T51" s="24">
        <v>2672.0</v>
      </c>
      <c r="U51" s="24">
        <v>17.2468</v>
      </c>
      <c r="V51" s="24">
        <v>4.4563</v>
      </c>
      <c r="W51" s="24">
        <v>9.3113</v>
      </c>
      <c r="X51" s="24">
        <v>0.1595</v>
      </c>
      <c r="Y51" s="24">
        <v>2.0289</v>
      </c>
      <c r="Z51" s="24">
        <v>101.0</v>
      </c>
      <c r="AA51" s="24">
        <v>22.0</v>
      </c>
      <c r="AB51" s="24">
        <v>4.7</v>
      </c>
      <c r="AC51" s="24">
        <v>42.7</v>
      </c>
      <c r="AD51" s="24">
        <v>7.7</v>
      </c>
      <c r="AE51" s="24">
        <v>1.1762</v>
      </c>
      <c r="AF51" s="24">
        <v>1.721311</v>
      </c>
      <c r="AG51" s="24">
        <v>1.246753</v>
      </c>
      <c r="AH51" s="24">
        <v>1.191489</v>
      </c>
      <c r="AI51" s="24">
        <v>1.222727</v>
      </c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</row>
    <row r="52">
      <c r="A52" s="51" t="s">
        <v>58</v>
      </c>
      <c r="B52" s="51" t="s">
        <v>104</v>
      </c>
      <c r="C52" s="24">
        <v>2015.0</v>
      </c>
      <c r="D52" s="24">
        <v>0.06226</v>
      </c>
      <c r="E52" s="52">
        <v>19.1</v>
      </c>
      <c r="F52" s="53">
        <f t="shared" si="1"/>
        <v>1.412729208</v>
      </c>
      <c r="G52" s="52">
        <v>10.2</v>
      </c>
      <c r="H52" s="54">
        <f t="shared" si="2"/>
        <v>0.7764952268</v>
      </c>
      <c r="I52" s="52">
        <v>4.6</v>
      </c>
      <c r="J52" s="54">
        <f t="shared" si="3"/>
        <v>0.4861457542</v>
      </c>
      <c r="K52" s="55">
        <v>2.853658537</v>
      </c>
      <c r="L52" s="54">
        <f t="shared" si="4"/>
        <v>0.2215090851</v>
      </c>
      <c r="M52" s="55">
        <v>0.274390244</v>
      </c>
      <c r="N52" s="56">
        <f t="shared" si="5"/>
        <v>0.01993079838</v>
      </c>
      <c r="O52" s="57">
        <v>0.596</v>
      </c>
      <c r="P52" s="24">
        <v>22714.0</v>
      </c>
      <c r="Q52" s="24">
        <v>5869.0</v>
      </c>
      <c r="R52" s="24">
        <v>12263.0</v>
      </c>
      <c r="S52" s="24">
        <v>210.0</v>
      </c>
      <c r="T52" s="24">
        <v>2672.0</v>
      </c>
      <c r="U52" s="24">
        <v>17.2468</v>
      </c>
      <c r="V52" s="24">
        <v>4.4563</v>
      </c>
      <c r="W52" s="24">
        <v>9.3113</v>
      </c>
      <c r="X52" s="24">
        <v>0.1595</v>
      </c>
      <c r="Y52" s="24">
        <v>2.0289</v>
      </c>
      <c r="Z52" s="24">
        <v>100.0</v>
      </c>
      <c r="AA52" s="24">
        <v>22.0</v>
      </c>
      <c r="AB52" s="24">
        <v>4.8</v>
      </c>
      <c r="AC52" s="24">
        <v>43.3</v>
      </c>
      <c r="AD52" s="24">
        <v>7.7</v>
      </c>
      <c r="AE52" s="24">
        <v>1.188</v>
      </c>
      <c r="AF52" s="24">
        <v>1.69746</v>
      </c>
      <c r="AG52" s="24">
        <v>1.246753</v>
      </c>
      <c r="AH52" s="24">
        <v>1.166667</v>
      </c>
      <c r="AI52" s="24">
        <v>1.222727</v>
      </c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</row>
    <row r="53">
      <c r="A53" s="51" t="s">
        <v>58</v>
      </c>
      <c r="B53" s="51" t="s">
        <v>104</v>
      </c>
      <c r="C53" s="24">
        <v>2016.0</v>
      </c>
      <c r="D53" s="24">
        <v>0.05619</v>
      </c>
      <c r="E53" s="52">
        <v>19.5</v>
      </c>
      <c r="F53" s="53">
        <f t="shared" si="1"/>
        <v>1.267511544</v>
      </c>
      <c r="G53" s="52">
        <v>10.0</v>
      </c>
      <c r="H53" s="54">
        <f t="shared" si="2"/>
        <v>0.6778076082</v>
      </c>
      <c r="I53" s="52">
        <v>4.2</v>
      </c>
      <c r="J53" s="54">
        <f t="shared" si="3"/>
        <v>0.3960239958</v>
      </c>
      <c r="K53" s="55">
        <v>3.081081081</v>
      </c>
      <c r="L53" s="54">
        <f t="shared" si="4"/>
        <v>0.2130780474</v>
      </c>
      <c r="M53" s="55">
        <v>0.263513514</v>
      </c>
      <c r="N53" s="56">
        <f t="shared" si="5"/>
        <v>0.01658364327</v>
      </c>
      <c r="O53" s="57">
        <v>0.575</v>
      </c>
      <c r="P53" s="24">
        <v>22714.0</v>
      </c>
      <c r="Q53" s="24">
        <v>5869.0</v>
      </c>
      <c r="R53" s="24">
        <v>12263.0</v>
      </c>
      <c r="S53" s="24">
        <v>210.0</v>
      </c>
      <c r="T53" s="24">
        <v>2672.0</v>
      </c>
      <c r="U53" s="24">
        <v>17.2468</v>
      </c>
      <c r="V53" s="24">
        <v>4.4563</v>
      </c>
      <c r="W53" s="24">
        <v>9.3113</v>
      </c>
      <c r="X53" s="24">
        <v>0.1595</v>
      </c>
      <c r="Y53" s="24">
        <v>2.0289</v>
      </c>
      <c r="Z53" s="24">
        <v>102.7</v>
      </c>
      <c r="AA53" s="24">
        <v>22.3</v>
      </c>
      <c r="AB53" s="24">
        <v>5.0</v>
      </c>
      <c r="AC53" s="24">
        <v>43.8</v>
      </c>
      <c r="AD53" s="24">
        <v>7.8</v>
      </c>
      <c r="AE53" s="24">
        <v>1.1568</v>
      </c>
      <c r="AF53" s="24">
        <v>1.678082</v>
      </c>
      <c r="AG53" s="24">
        <v>1.230769</v>
      </c>
      <c r="AH53" s="24">
        <v>1.12</v>
      </c>
      <c r="AI53" s="24">
        <v>1.206278</v>
      </c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</row>
    <row r="54">
      <c r="A54" s="51" t="s">
        <v>58</v>
      </c>
      <c r="B54" s="51" t="s">
        <v>104</v>
      </c>
      <c r="C54" s="24">
        <v>2017.0</v>
      </c>
      <c r="D54" s="24">
        <v>0.04632</v>
      </c>
      <c r="E54" s="52">
        <v>18.1</v>
      </c>
      <c r="F54" s="53">
        <f t="shared" si="1"/>
        <v>0.943191</v>
      </c>
      <c r="G54" s="52">
        <v>9.2</v>
      </c>
      <c r="H54" s="54">
        <f t="shared" si="2"/>
        <v>0.5072242882</v>
      </c>
      <c r="I54" s="52">
        <v>5.0</v>
      </c>
      <c r="J54" s="54">
        <f t="shared" si="3"/>
        <v>0.391324098</v>
      </c>
      <c r="K54" s="55">
        <v>2.926229508</v>
      </c>
      <c r="L54" s="54">
        <f t="shared" si="4"/>
        <v>0.1689885806</v>
      </c>
      <c r="M54" s="55">
        <v>0.196721311</v>
      </c>
      <c r="N54" s="56">
        <f t="shared" si="5"/>
        <v>0.010857004</v>
      </c>
      <c r="O54" s="57">
        <v>0.614</v>
      </c>
      <c r="P54" s="24">
        <v>22714.0</v>
      </c>
      <c r="Q54" s="24">
        <v>5869.0</v>
      </c>
      <c r="R54" s="24">
        <v>12263.0</v>
      </c>
      <c r="S54" s="24">
        <v>210.0</v>
      </c>
      <c r="T54" s="24">
        <v>2672.0</v>
      </c>
      <c r="U54" s="24">
        <v>17.2468</v>
      </c>
      <c r="V54" s="24">
        <v>4.4563</v>
      </c>
      <c r="W54" s="24">
        <v>9.3113</v>
      </c>
      <c r="X54" s="24">
        <v>0.1595</v>
      </c>
      <c r="Y54" s="24">
        <v>2.0289</v>
      </c>
      <c r="Z54" s="24">
        <v>105.6</v>
      </c>
      <c r="AA54" s="24">
        <v>22.6</v>
      </c>
      <c r="AB54" s="24">
        <v>4.7</v>
      </c>
      <c r="AC54" s="24">
        <v>43.5</v>
      </c>
      <c r="AD54" s="24">
        <v>7.7</v>
      </c>
      <c r="AE54" s="24">
        <v>1.125</v>
      </c>
      <c r="AF54" s="24">
        <v>1.689655</v>
      </c>
      <c r="AG54" s="24">
        <v>1.246753</v>
      </c>
      <c r="AH54" s="24">
        <v>1.191489</v>
      </c>
      <c r="AI54" s="24">
        <v>1.190265</v>
      </c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</row>
    <row r="55">
      <c r="A55" s="51" t="s">
        <v>58</v>
      </c>
      <c r="B55" s="51" t="s">
        <v>104</v>
      </c>
      <c r="C55" s="24">
        <v>2018.0</v>
      </c>
      <c r="D55" s="24">
        <v>0.04404</v>
      </c>
      <c r="E55" s="52">
        <v>18.6</v>
      </c>
      <c r="F55" s="53">
        <f t="shared" si="1"/>
        <v>0.9154753344</v>
      </c>
      <c r="G55" s="52">
        <v>7.9</v>
      </c>
      <c r="H55" s="54">
        <f t="shared" si="2"/>
        <v>0.4034026874</v>
      </c>
      <c r="I55" s="52">
        <v>5.4</v>
      </c>
      <c r="J55" s="54">
        <f t="shared" si="3"/>
        <v>0.4018269935</v>
      </c>
      <c r="K55" s="55">
        <v>2.482758621</v>
      </c>
      <c r="L55" s="54">
        <f t="shared" si="4"/>
        <v>0.1363208329</v>
      </c>
      <c r="M55" s="55">
        <v>0.362068966</v>
      </c>
      <c r="N55" s="56">
        <f t="shared" si="5"/>
        <v>0.01860310879</v>
      </c>
      <c r="O55" s="57">
        <v>0.604</v>
      </c>
      <c r="P55" s="24">
        <v>22714.0</v>
      </c>
      <c r="Q55" s="24">
        <v>5869.0</v>
      </c>
      <c r="R55" s="24">
        <v>12263.0</v>
      </c>
      <c r="S55" s="24">
        <v>210.0</v>
      </c>
      <c r="T55" s="24">
        <v>2672.0</v>
      </c>
      <c r="U55" s="24">
        <v>17.2468</v>
      </c>
      <c r="V55" s="24">
        <v>4.4563</v>
      </c>
      <c r="W55" s="24">
        <v>9.3113</v>
      </c>
      <c r="X55" s="24">
        <v>0.1595</v>
      </c>
      <c r="Y55" s="24">
        <v>2.0289</v>
      </c>
      <c r="Z55" s="24">
        <v>106.3</v>
      </c>
      <c r="AA55" s="24">
        <v>23.2</v>
      </c>
      <c r="AB55" s="24">
        <v>4.8</v>
      </c>
      <c r="AC55" s="24">
        <v>43.5</v>
      </c>
      <c r="AD55" s="24">
        <v>7.7</v>
      </c>
      <c r="AE55" s="24">
        <v>1.1176</v>
      </c>
      <c r="AF55" s="24">
        <v>1.689655</v>
      </c>
      <c r="AG55" s="24">
        <v>1.246753</v>
      </c>
      <c r="AH55" s="24">
        <v>1.166667</v>
      </c>
      <c r="AI55" s="24">
        <v>1.159483</v>
      </c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</row>
    <row r="56">
      <c r="A56" s="51" t="s">
        <v>58</v>
      </c>
      <c r="B56" s="51" t="s">
        <v>104</v>
      </c>
      <c r="C56" s="24">
        <v>2019.0</v>
      </c>
      <c r="D56" s="24">
        <v>0.04404</v>
      </c>
      <c r="E56" s="52">
        <v>15.6</v>
      </c>
      <c r="F56" s="53">
        <f t="shared" si="1"/>
        <v>0.7339477392</v>
      </c>
      <c r="G56" s="52">
        <v>8.2</v>
      </c>
      <c r="H56" s="54">
        <f t="shared" si="2"/>
        <v>0.3948920235</v>
      </c>
      <c r="I56" s="52">
        <v>4.6</v>
      </c>
      <c r="J56" s="54">
        <f t="shared" si="3"/>
        <v>0.3294230579</v>
      </c>
      <c r="K56" s="55">
        <v>2.948275862</v>
      </c>
      <c r="L56" s="54">
        <f t="shared" si="4"/>
        <v>0.1640110481</v>
      </c>
      <c r="M56" s="55">
        <v>0.465517241</v>
      </c>
      <c r="N56" s="56">
        <f t="shared" si="5"/>
        <v>0.02296154481</v>
      </c>
      <c r="O56" s="57">
        <v>0.56</v>
      </c>
      <c r="P56" s="24">
        <v>22714.0</v>
      </c>
      <c r="Q56" s="24">
        <v>5869.0</v>
      </c>
      <c r="R56" s="24">
        <v>12263.0</v>
      </c>
      <c r="S56" s="24">
        <v>210.0</v>
      </c>
      <c r="T56" s="24">
        <v>2672.0</v>
      </c>
      <c r="U56" s="24">
        <v>17.2468</v>
      </c>
      <c r="V56" s="24">
        <v>4.4563</v>
      </c>
      <c r="W56" s="24">
        <v>9.3113</v>
      </c>
      <c r="X56" s="24">
        <v>0.1595</v>
      </c>
      <c r="Y56" s="24">
        <v>2.0289</v>
      </c>
      <c r="Z56" s="24">
        <v>111.2</v>
      </c>
      <c r="AA56" s="24">
        <v>24.6</v>
      </c>
      <c r="AB56" s="24">
        <v>5.0</v>
      </c>
      <c r="AC56" s="24">
        <v>45.2</v>
      </c>
      <c r="AD56" s="24">
        <v>7.6</v>
      </c>
      <c r="AE56" s="24">
        <v>1.0683</v>
      </c>
      <c r="AF56" s="24">
        <v>1.626106</v>
      </c>
      <c r="AG56" s="24">
        <v>1.263158</v>
      </c>
      <c r="AH56" s="24">
        <v>1.12</v>
      </c>
      <c r="AI56" s="24">
        <v>1.093496</v>
      </c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</row>
    <row r="57">
      <c r="A57" s="51" t="s">
        <v>58</v>
      </c>
      <c r="B57" s="51" t="s">
        <v>104</v>
      </c>
      <c r="C57" s="24">
        <v>2020.0</v>
      </c>
      <c r="D57" s="24">
        <v>0.05315</v>
      </c>
      <c r="E57" s="52">
        <v>17.6</v>
      </c>
      <c r="F57" s="53">
        <f t="shared" si="1"/>
        <v>0.993998544</v>
      </c>
      <c r="G57" s="52">
        <v>6.7</v>
      </c>
      <c r="H57" s="54">
        <f t="shared" si="2"/>
        <v>0.3925911622</v>
      </c>
      <c r="I57" s="52">
        <v>5.0</v>
      </c>
      <c r="J57" s="54">
        <f t="shared" si="3"/>
        <v>0.4359960938</v>
      </c>
      <c r="K57" s="55">
        <v>2.378571429</v>
      </c>
      <c r="L57" s="54">
        <f t="shared" si="4"/>
        <v>0.1596897878</v>
      </c>
      <c r="M57" s="55">
        <v>0.235714286</v>
      </c>
      <c r="N57" s="56">
        <f t="shared" si="5"/>
        <v>0.01431795741</v>
      </c>
      <c r="O57" s="57">
        <v>0.61</v>
      </c>
      <c r="P57" s="24">
        <v>22714.0</v>
      </c>
      <c r="Q57" s="24">
        <v>5869.0</v>
      </c>
      <c r="R57" s="24">
        <v>12263.0</v>
      </c>
      <c r="S57" s="24">
        <v>210.0</v>
      </c>
      <c r="T57" s="24">
        <v>2672.0</v>
      </c>
      <c r="U57" s="24">
        <v>17.2468</v>
      </c>
      <c r="V57" s="24">
        <v>4.4563</v>
      </c>
      <c r="W57" s="24">
        <v>9.3113</v>
      </c>
      <c r="X57" s="24">
        <v>0.1595</v>
      </c>
      <c r="Y57" s="24">
        <v>2.0289</v>
      </c>
      <c r="Z57" s="24">
        <v>111.8</v>
      </c>
      <c r="AA57" s="24">
        <v>24.4</v>
      </c>
      <c r="AB57" s="24">
        <v>4.9</v>
      </c>
      <c r="AC57" s="24">
        <v>44.8</v>
      </c>
      <c r="AD57" s="24">
        <v>7.6</v>
      </c>
      <c r="AE57" s="24">
        <v>1.0626</v>
      </c>
      <c r="AF57" s="24">
        <v>1.640625</v>
      </c>
      <c r="AG57" s="24">
        <v>1.263158</v>
      </c>
      <c r="AH57" s="24">
        <v>1.142857</v>
      </c>
      <c r="AI57" s="24">
        <v>1.102459</v>
      </c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</row>
    <row r="58">
      <c r="A58" s="51" t="s">
        <v>58</v>
      </c>
      <c r="B58" s="51" t="s">
        <v>104</v>
      </c>
      <c r="C58" s="24">
        <v>2021.0</v>
      </c>
      <c r="D58" s="24">
        <v>0.05315</v>
      </c>
      <c r="E58" s="52">
        <v>16.4</v>
      </c>
      <c r="F58" s="53">
        <f t="shared" si="1"/>
        <v>0.923785268</v>
      </c>
      <c r="G58" s="52">
        <v>8.9</v>
      </c>
      <c r="H58" s="54">
        <f t="shared" si="2"/>
        <v>0.5130901847</v>
      </c>
      <c r="I58" s="52">
        <v>4.5</v>
      </c>
      <c r="J58" s="54">
        <f t="shared" si="3"/>
        <v>0.3968252879</v>
      </c>
      <c r="K58" s="55">
        <v>2.121428571</v>
      </c>
      <c r="L58" s="54">
        <f t="shared" si="4"/>
        <v>0.1424260269</v>
      </c>
      <c r="M58" s="55">
        <v>0.407142857</v>
      </c>
      <c r="N58" s="56">
        <f t="shared" si="5"/>
        <v>0.02473101731</v>
      </c>
      <c r="O58" s="57">
        <v>0.599</v>
      </c>
      <c r="P58" s="24">
        <v>22714.0</v>
      </c>
      <c r="Q58" s="24">
        <v>5869.0</v>
      </c>
      <c r="R58" s="24">
        <v>12263.0</v>
      </c>
      <c r="S58" s="24">
        <v>210.0</v>
      </c>
      <c r="T58" s="24">
        <v>2672.0</v>
      </c>
      <c r="U58" s="24">
        <v>17.2468</v>
      </c>
      <c r="V58" s="24">
        <v>4.4563</v>
      </c>
      <c r="W58" s="24">
        <v>9.3113</v>
      </c>
      <c r="X58" s="24">
        <v>0.1595</v>
      </c>
      <c r="Y58" s="24">
        <v>2.0289</v>
      </c>
      <c r="Z58" s="24">
        <v>112.1</v>
      </c>
      <c r="AA58" s="24">
        <v>24.8</v>
      </c>
      <c r="AB58" s="24">
        <v>4.9</v>
      </c>
      <c r="AC58" s="24">
        <v>44.3</v>
      </c>
      <c r="AD58" s="24">
        <v>7.6</v>
      </c>
      <c r="AE58" s="24">
        <v>1.0598</v>
      </c>
      <c r="AF58" s="24">
        <v>1.659142</v>
      </c>
      <c r="AG58" s="24">
        <v>1.263158</v>
      </c>
      <c r="AH58" s="24">
        <v>1.142857</v>
      </c>
      <c r="AI58" s="24">
        <v>1.084677</v>
      </c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</row>
    <row r="59">
      <c r="A59" s="51" t="s">
        <v>58</v>
      </c>
      <c r="B59" s="51" t="s">
        <v>104</v>
      </c>
      <c r="C59" s="24">
        <v>2022.0</v>
      </c>
      <c r="D59" s="24">
        <v>0.04935</v>
      </c>
      <c r="E59" s="52">
        <v>14.7</v>
      </c>
      <c r="F59" s="53">
        <f t="shared" si="1"/>
        <v>0.7792004745</v>
      </c>
      <c r="G59" s="52">
        <v>10.8</v>
      </c>
      <c r="H59" s="54">
        <f t="shared" si="2"/>
        <v>0.5828114981</v>
      </c>
      <c r="I59" s="52">
        <v>4.4</v>
      </c>
      <c r="J59" s="54">
        <f t="shared" si="3"/>
        <v>0.3586468809</v>
      </c>
      <c r="K59" s="55">
        <v>2.792307692</v>
      </c>
      <c r="L59" s="54">
        <f t="shared" si="4"/>
        <v>0.1740636582</v>
      </c>
      <c r="M59" s="55">
        <v>0.461538462</v>
      </c>
      <c r="N59" s="56">
        <f t="shared" si="5"/>
        <v>0.02713845333</v>
      </c>
      <c r="O59" s="57">
        <v>0.581</v>
      </c>
      <c r="P59" s="24">
        <v>22714.0</v>
      </c>
      <c r="Q59" s="24">
        <v>5869.0</v>
      </c>
      <c r="R59" s="24">
        <v>12263.0</v>
      </c>
      <c r="S59" s="24">
        <v>210.0</v>
      </c>
      <c r="T59" s="24">
        <v>2672.0</v>
      </c>
      <c r="U59" s="24">
        <v>17.2468</v>
      </c>
      <c r="V59" s="24">
        <v>4.4563</v>
      </c>
      <c r="W59" s="24">
        <v>9.3113</v>
      </c>
      <c r="X59" s="24">
        <v>0.1595</v>
      </c>
      <c r="Y59" s="24">
        <v>2.0289</v>
      </c>
      <c r="Z59" s="24">
        <v>110.6</v>
      </c>
      <c r="AA59" s="24">
        <v>24.6</v>
      </c>
      <c r="AB59" s="24">
        <v>4.7</v>
      </c>
      <c r="AC59" s="24">
        <v>44.5</v>
      </c>
      <c r="AD59" s="24">
        <v>7.6</v>
      </c>
      <c r="AE59" s="24">
        <v>1.0741</v>
      </c>
      <c r="AF59" s="24">
        <v>1.651685</v>
      </c>
      <c r="AG59" s="24">
        <v>1.263158</v>
      </c>
      <c r="AH59" s="24">
        <v>1.191489</v>
      </c>
      <c r="AI59" s="24">
        <v>1.093496</v>
      </c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</row>
    <row r="60">
      <c r="A60" s="51" t="s">
        <v>58</v>
      </c>
      <c r="B60" s="51" t="s">
        <v>104</v>
      </c>
      <c r="C60" s="24">
        <v>2023.0</v>
      </c>
      <c r="D60" s="24">
        <v>0.0448</v>
      </c>
      <c r="E60" s="52">
        <v>13.9</v>
      </c>
      <c r="F60" s="53">
        <f t="shared" si="1"/>
        <v>0.644951104</v>
      </c>
      <c r="G60" s="52">
        <v>8.9</v>
      </c>
      <c r="H60" s="54">
        <f t="shared" si="2"/>
        <v>0.4239354515</v>
      </c>
      <c r="I60" s="52">
        <v>4.3</v>
      </c>
      <c r="J60" s="54">
        <f t="shared" si="3"/>
        <v>0.3262450867</v>
      </c>
      <c r="K60" s="55">
        <v>2.313559322</v>
      </c>
      <c r="L60" s="54">
        <f t="shared" si="4"/>
        <v>0.1363034548</v>
      </c>
      <c r="M60" s="55">
        <v>0.559322034</v>
      </c>
      <c r="N60" s="56">
        <f t="shared" si="5"/>
        <v>0.02985588708</v>
      </c>
      <c r="O60" s="57">
        <v>0.555</v>
      </c>
      <c r="P60" s="24">
        <v>22714.0</v>
      </c>
      <c r="Q60" s="24">
        <v>5869.0</v>
      </c>
      <c r="R60" s="24">
        <v>12263.0</v>
      </c>
      <c r="S60" s="24">
        <v>210.0</v>
      </c>
      <c r="T60" s="24">
        <v>2672.0</v>
      </c>
      <c r="U60" s="24">
        <v>17.2468</v>
      </c>
      <c r="V60" s="24">
        <v>4.4563</v>
      </c>
      <c r="W60" s="24">
        <v>9.3113</v>
      </c>
      <c r="X60" s="24">
        <v>0.1595</v>
      </c>
      <c r="Y60" s="24">
        <v>2.0289</v>
      </c>
      <c r="Z60" s="24">
        <v>114.7</v>
      </c>
      <c r="AA60" s="24">
        <v>25.3</v>
      </c>
      <c r="AB60" s="24">
        <v>4.7</v>
      </c>
      <c r="AC60" s="24">
        <v>43.4</v>
      </c>
      <c r="AD60" s="24">
        <v>7.3</v>
      </c>
      <c r="AE60" s="24">
        <v>1.0357</v>
      </c>
      <c r="AF60" s="24">
        <v>1.693548</v>
      </c>
      <c r="AG60" s="24">
        <v>1.315068</v>
      </c>
      <c r="AH60" s="24">
        <v>1.191489</v>
      </c>
      <c r="AI60" s="24">
        <v>1.063241</v>
      </c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</row>
    <row r="61">
      <c r="A61" s="51" t="s">
        <v>58</v>
      </c>
      <c r="B61" s="51" t="s">
        <v>104</v>
      </c>
      <c r="C61" s="24">
        <v>2024.0</v>
      </c>
      <c r="D61" s="24">
        <v>0.04404</v>
      </c>
      <c r="E61" s="52">
        <v>9.2</v>
      </c>
      <c r="F61" s="53">
        <f t="shared" si="1"/>
        <v>0.4214962704</v>
      </c>
      <c r="G61" s="52">
        <v>6.8</v>
      </c>
      <c r="H61" s="54">
        <f t="shared" si="2"/>
        <v>0.3017153448</v>
      </c>
      <c r="I61" s="52">
        <v>3.9</v>
      </c>
      <c r="J61" s="54">
        <f t="shared" si="3"/>
        <v>0.2902083842</v>
      </c>
      <c r="K61" s="55">
        <v>1.810344828</v>
      </c>
      <c r="L61" s="54">
        <f t="shared" si="4"/>
        <v>0.1020513104</v>
      </c>
      <c r="M61" s="55">
        <v>0.155172414</v>
      </c>
      <c r="N61" s="56">
        <f t="shared" si="5"/>
        <v>0.007503771356</v>
      </c>
      <c r="O61" s="57">
        <v>0.544</v>
      </c>
      <c r="P61" s="24">
        <v>22714.0</v>
      </c>
      <c r="Q61" s="24">
        <v>5869.0</v>
      </c>
      <c r="R61" s="24">
        <v>12263.0</v>
      </c>
      <c r="S61" s="24">
        <v>210.0</v>
      </c>
      <c r="T61" s="24">
        <v>2672.0</v>
      </c>
      <c r="U61" s="24">
        <v>17.2468</v>
      </c>
      <c r="V61" s="24">
        <v>4.4563</v>
      </c>
      <c r="W61" s="24">
        <v>9.3113</v>
      </c>
      <c r="X61" s="24">
        <v>0.1595</v>
      </c>
      <c r="Y61" s="24">
        <v>2.0289</v>
      </c>
      <c r="Z61" s="24">
        <v>114.2</v>
      </c>
      <c r="AA61" s="24">
        <v>26.7</v>
      </c>
      <c r="AB61" s="24">
        <v>5.1</v>
      </c>
      <c r="AC61" s="24">
        <v>43.5</v>
      </c>
      <c r="AD61" s="24">
        <v>7.5</v>
      </c>
      <c r="AE61" s="24">
        <v>1.0403</v>
      </c>
      <c r="AF61" s="24">
        <v>1.689655</v>
      </c>
      <c r="AG61" s="24">
        <v>1.28</v>
      </c>
      <c r="AH61" s="24">
        <v>1.098039</v>
      </c>
      <c r="AI61" s="24">
        <v>1.007491</v>
      </c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</row>
    <row r="62">
      <c r="A62" s="51" t="s">
        <v>58</v>
      </c>
      <c r="B62" s="51" t="s">
        <v>104</v>
      </c>
      <c r="C62" s="24">
        <v>2025.0</v>
      </c>
      <c r="D62" s="24">
        <v>0.03417</v>
      </c>
      <c r="E62" s="52">
        <v>9.5</v>
      </c>
      <c r="F62" s="53">
        <f t="shared" si="1"/>
        <v>0.3388655985</v>
      </c>
      <c r="G62" s="52">
        <v>8.2</v>
      </c>
      <c r="H62" s="54">
        <f t="shared" si="2"/>
        <v>0.2844232482</v>
      </c>
      <c r="I62" s="52">
        <v>4.2</v>
      </c>
      <c r="J62" s="54">
        <f t="shared" si="3"/>
        <v>0.2391900478</v>
      </c>
      <c r="K62" s="55">
        <v>1.933333333</v>
      </c>
      <c r="L62" s="54">
        <f t="shared" si="4"/>
        <v>0.07734089737</v>
      </c>
      <c r="M62" s="55">
        <v>0.333333333</v>
      </c>
      <c r="N62" s="56">
        <f t="shared" si="5"/>
        <v>0.01301714122</v>
      </c>
      <c r="O62" s="57">
        <v>0.578</v>
      </c>
      <c r="P62" s="24">
        <v>22714.0</v>
      </c>
      <c r="Q62" s="24">
        <v>5869.0</v>
      </c>
      <c r="R62" s="24">
        <v>12263.0</v>
      </c>
      <c r="S62" s="24">
        <v>210.0</v>
      </c>
      <c r="T62" s="24">
        <v>2672.0</v>
      </c>
      <c r="U62" s="24">
        <v>17.2468</v>
      </c>
      <c r="V62" s="24">
        <v>4.4563</v>
      </c>
      <c r="W62" s="24">
        <v>9.3113</v>
      </c>
      <c r="X62" s="24">
        <v>0.1595</v>
      </c>
      <c r="Y62" s="24">
        <v>2.0289</v>
      </c>
      <c r="Z62" s="24">
        <v>113.8</v>
      </c>
      <c r="AA62" s="24">
        <v>26.5</v>
      </c>
      <c r="AB62" s="24">
        <v>4.9</v>
      </c>
      <c r="AC62" s="24">
        <v>44.1</v>
      </c>
      <c r="AD62" s="24">
        <v>8.2</v>
      </c>
      <c r="AE62" s="24">
        <v>1.0439</v>
      </c>
      <c r="AF62" s="24">
        <v>1.666667</v>
      </c>
      <c r="AG62" s="24">
        <v>1.170732</v>
      </c>
      <c r="AH62" s="24">
        <v>1.142857</v>
      </c>
      <c r="AI62" s="24">
        <v>1.015094</v>
      </c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</row>
    <row r="63">
      <c r="A63" s="51" t="s">
        <v>60</v>
      </c>
      <c r="B63" s="51" t="s">
        <v>107</v>
      </c>
      <c r="C63" s="24">
        <v>1990.0</v>
      </c>
      <c r="D63" s="24">
        <v>0.08308</v>
      </c>
      <c r="E63" s="52">
        <v>24.3</v>
      </c>
      <c r="F63" s="53">
        <f t="shared" si="1"/>
        <v>2.241522493</v>
      </c>
      <c r="G63" s="52">
        <v>2.0</v>
      </c>
      <c r="H63" s="54">
        <f t="shared" si="2"/>
        <v>0.1795061374</v>
      </c>
      <c r="I63" s="52">
        <v>12.0</v>
      </c>
      <c r="J63" s="54">
        <f t="shared" si="3"/>
        <v>1.700151779</v>
      </c>
      <c r="K63" s="55">
        <v>2.524390244</v>
      </c>
      <c r="L63" s="54">
        <f t="shared" si="4"/>
        <v>0.2368674468</v>
      </c>
      <c r="M63" s="55">
        <v>5.835365854</v>
      </c>
      <c r="N63" s="56">
        <f t="shared" si="5"/>
        <v>0.5323317176</v>
      </c>
      <c r="O63" s="57">
        <v>0.597</v>
      </c>
      <c r="P63" s="24">
        <v>20790.0</v>
      </c>
      <c r="Q63" s="24">
        <v>10497.0</v>
      </c>
      <c r="R63" s="24">
        <v>2441.0</v>
      </c>
      <c r="S63" s="24">
        <v>2954.0</v>
      </c>
      <c r="T63" s="24">
        <v>1388.0</v>
      </c>
      <c r="U63" s="24">
        <v>21.0638</v>
      </c>
      <c r="V63" s="24">
        <v>10.6353</v>
      </c>
      <c r="W63" s="24">
        <v>2.4732</v>
      </c>
      <c r="X63" s="24">
        <v>2.9929</v>
      </c>
      <c r="Y63" s="24">
        <v>1.4063</v>
      </c>
      <c r="Z63" s="24">
        <v>107.0</v>
      </c>
      <c r="AA63" s="24">
        <v>24.9</v>
      </c>
      <c r="AB63" s="24">
        <v>5.1</v>
      </c>
      <c r="AC63" s="24">
        <v>43.1</v>
      </c>
      <c r="AD63" s="24">
        <v>8.5</v>
      </c>
      <c r="AE63" s="24">
        <v>1.1103</v>
      </c>
      <c r="AF63" s="24">
        <v>1.705336</v>
      </c>
      <c r="AG63" s="24">
        <v>1.129412</v>
      </c>
      <c r="AH63" s="24">
        <v>1.098039</v>
      </c>
      <c r="AI63" s="24">
        <v>1.080321</v>
      </c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</row>
    <row r="64">
      <c r="A64" s="51" t="s">
        <v>60</v>
      </c>
      <c r="B64" s="51" t="s">
        <v>107</v>
      </c>
      <c r="C64" s="24">
        <v>1991.0</v>
      </c>
      <c r="D64" s="24">
        <v>0.08308</v>
      </c>
      <c r="E64" s="52">
        <v>25.6</v>
      </c>
      <c r="F64" s="53">
        <f t="shared" si="1"/>
        <v>2.376965325</v>
      </c>
      <c r="G64" s="52">
        <v>2.5</v>
      </c>
      <c r="H64" s="54">
        <f t="shared" si="2"/>
        <v>0.2261996313</v>
      </c>
      <c r="I64" s="52">
        <v>13.0</v>
      </c>
      <c r="J64" s="54">
        <f t="shared" si="3"/>
        <v>1.833324698</v>
      </c>
      <c r="K64" s="55">
        <v>2.323170732</v>
      </c>
      <c r="L64" s="54">
        <f t="shared" si="4"/>
        <v>0.2154519208</v>
      </c>
      <c r="M64" s="55">
        <v>5.853658537</v>
      </c>
      <c r="N64" s="56">
        <f t="shared" si="5"/>
        <v>0.513849719</v>
      </c>
      <c r="O64" s="57">
        <v>0.615</v>
      </c>
      <c r="P64" s="24">
        <v>20790.0</v>
      </c>
      <c r="Q64" s="24">
        <v>10497.0</v>
      </c>
      <c r="R64" s="24">
        <v>2441.0</v>
      </c>
      <c r="S64" s="24">
        <v>2954.0</v>
      </c>
      <c r="T64" s="24">
        <v>1388.0</v>
      </c>
      <c r="U64" s="24">
        <v>21.0638</v>
      </c>
      <c r="V64" s="24">
        <v>10.6353</v>
      </c>
      <c r="W64" s="24">
        <v>2.4732</v>
      </c>
      <c r="X64" s="24">
        <v>2.9929</v>
      </c>
      <c r="Y64" s="24">
        <v>1.4063</v>
      </c>
      <c r="Z64" s="24">
        <v>106.3</v>
      </c>
      <c r="AA64" s="24">
        <v>24.7</v>
      </c>
      <c r="AB64" s="24">
        <v>5.3</v>
      </c>
      <c r="AC64" s="24">
        <v>43.3</v>
      </c>
      <c r="AD64" s="24">
        <v>8.6</v>
      </c>
      <c r="AE64" s="24">
        <v>1.1176</v>
      </c>
      <c r="AF64" s="24">
        <v>1.69746</v>
      </c>
      <c r="AG64" s="24">
        <v>1.116279</v>
      </c>
      <c r="AH64" s="24">
        <v>1.056604</v>
      </c>
      <c r="AI64" s="24">
        <v>1.089069</v>
      </c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</row>
    <row r="65">
      <c r="A65" s="51" t="s">
        <v>60</v>
      </c>
      <c r="B65" s="51" t="s">
        <v>107</v>
      </c>
      <c r="C65" s="24">
        <v>1992.0</v>
      </c>
      <c r="D65" s="24">
        <v>0.0689</v>
      </c>
      <c r="E65" s="52">
        <v>23.2</v>
      </c>
      <c r="F65" s="53">
        <f t="shared" si="1"/>
        <v>1.803405136</v>
      </c>
      <c r="G65" s="52">
        <v>2.7</v>
      </c>
      <c r="H65" s="54">
        <f t="shared" si="2"/>
        <v>0.2042533128</v>
      </c>
      <c r="I65" s="52">
        <v>12.2</v>
      </c>
      <c r="J65" s="54">
        <f t="shared" si="3"/>
        <v>1.413789995</v>
      </c>
      <c r="K65" s="55">
        <v>3.485294118</v>
      </c>
      <c r="L65" s="54">
        <f t="shared" si="4"/>
        <v>0.2680596276</v>
      </c>
      <c r="M65" s="55">
        <v>6.727941176</v>
      </c>
      <c r="N65" s="56">
        <f t="shared" si="5"/>
        <v>0.4719835067</v>
      </c>
      <c r="O65" s="57">
        <v>0.597</v>
      </c>
      <c r="P65" s="24">
        <v>20790.0</v>
      </c>
      <c r="Q65" s="24">
        <v>10497.0</v>
      </c>
      <c r="R65" s="24">
        <v>2441.0</v>
      </c>
      <c r="S65" s="24">
        <v>2954.0</v>
      </c>
      <c r="T65" s="24">
        <v>1388.0</v>
      </c>
      <c r="U65" s="24">
        <v>21.0638</v>
      </c>
      <c r="V65" s="24">
        <v>10.6353</v>
      </c>
      <c r="W65" s="24">
        <v>2.4732</v>
      </c>
      <c r="X65" s="24">
        <v>2.9929</v>
      </c>
      <c r="Y65" s="24">
        <v>1.4063</v>
      </c>
      <c r="Z65" s="24">
        <v>105.3</v>
      </c>
      <c r="AA65" s="24">
        <v>24.5</v>
      </c>
      <c r="AB65" s="24">
        <v>5.5</v>
      </c>
      <c r="AC65" s="24">
        <v>43.7</v>
      </c>
      <c r="AD65" s="24">
        <v>8.6</v>
      </c>
      <c r="AE65" s="24">
        <v>1.1282</v>
      </c>
      <c r="AF65" s="24">
        <v>1.681922</v>
      </c>
      <c r="AG65" s="24">
        <v>1.116279</v>
      </c>
      <c r="AH65" s="24">
        <v>1.018182</v>
      </c>
      <c r="AI65" s="24">
        <v>1.097959</v>
      </c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</row>
    <row r="66">
      <c r="A66" s="51" t="s">
        <v>60</v>
      </c>
      <c r="B66" s="51" t="s">
        <v>107</v>
      </c>
      <c r="C66" s="24">
        <v>1993.0</v>
      </c>
      <c r="D66" s="24">
        <v>0.08308</v>
      </c>
      <c r="E66" s="52">
        <v>23.4</v>
      </c>
      <c r="F66" s="53">
        <f t="shared" si="1"/>
        <v>2.19330203</v>
      </c>
      <c r="G66" s="52">
        <v>3.7</v>
      </c>
      <c r="H66" s="54">
        <f t="shared" si="2"/>
        <v>0.3347754543</v>
      </c>
      <c r="I66" s="52">
        <v>11.7</v>
      </c>
      <c r="J66" s="54">
        <f t="shared" si="3"/>
        <v>1.657647984</v>
      </c>
      <c r="K66" s="55">
        <v>2.323170732</v>
      </c>
      <c r="L66" s="54">
        <f t="shared" si="4"/>
        <v>0.2154519208</v>
      </c>
      <c r="M66" s="55">
        <v>4.829268293</v>
      </c>
      <c r="N66" s="56">
        <f t="shared" si="5"/>
        <v>0.4320783181</v>
      </c>
      <c r="O66" s="57">
        <v>0.569</v>
      </c>
      <c r="P66" s="24">
        <v>20790.0</v>
      </c>
      <c r="Q66" s="24">
        <v>10497.0</v>
      </c>
      <c r="R66" s="24">
        <v>2441.0</v>
      </c>
      <c r="S66" s="24">
        <v>2954.0</v>
      </c>
      <c r="T66" s="24">
        <v>1388.0</v>
      </c>
      <c r="U66" s="24">
        <v>21.0638</v>
      </c>
      <c r="V66" s="24">
        <v>10.6353</v>
      </c>
      <c r="W66" s="24">
        <v>2.4732</v>
      </c>
      <c r="X66" s="24">
        <v>2.9929</v>
      </c>
      <c r="Y66" s="24">
        <v>1.4063</v>
      </c>
      <c r="Z66" s="24">
        <v>105.3</v>
      </c>
      <c r="AA66" s="24">
        <v>24.7</v>
      </c>
      <c r="AB66" s="24">
        <v>5.2</v>
      </c>
      <c r="AC66" s="24">
        <v>43.1</v>
      </c>
      <c r="AD66" s="24">
        <v>8.6</v>
      </c>
      <c r="AE66" s="24">
        <v>1.1282</v>
      </c>
      <c r="AF66" s="24">
        <v>1.705336</v>
      </c>
      <c r="AG66" s="24">
        <v>1.116279</v>
      </c>
      <c r="AH66" s="24">
        <v>1.076923</v>
      </c>
      <c r="AI66" s="24">
        <v>1.089069</v>
      </c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</row>
    <row r="67">
      <c r="A67" s="51" t="s">
        <v>60</v>
      </c>
      <c r="B67" s="51" t="s">
        <v>107</v>
      </c>
      <c r="C67" s="24">
        <v>1994.0</v>
      </c>
      <c r="D67" s="24">
        <v>0.08105</v>
      </c>
      <c r="E67" s="52">
        <v>29.8</v>
      </c>
      <c r="F67" s="53">
        <f t="shared" si="1"/>
        <v>2.826855416</v>
      </c>
      <c r="G67" s="52">
        <v>4.8</v>
      </c>
      <c r="H67" s="54">
        <f t="shared" si="2"/>
        <v>0.4289006494</v>
      </c>
      <c r="I67" s="52">
        <v>10.7</v>
      </c>
      <c r="J67" s="54">
        <f t="shared" si="3"/>
        <v>1.48236652</v>
      </c>
      <c r="K67" s="55">
        <v>2.60625</v>
      </c>
      <c r="L67" s="54">
        <f t="shared" si="4"/>
        <v>0.2278507406</v>
      </c>
      <c r="M67" s="55">
        <v>4.96875</v>
      </c>
      <c r="N67" s="56">
        <f t="shared" si="5"/>
        <v>0.4336954017</v>
      </c>
      <c r="O67" s="57">
        <v>0.577</v>
      </c>
      <c r="P67" s="24">
        <v>20790.0</v>
      </c>
      <c r="Q67" s="24">
        <v>10497.0</v>
      </c>
      <c r="R67" s="24">
        <v>2441.0</v>
      </c>
      <c r="S67" s="24">
        <v>2954.0</v>
      </c>
      <c r="T67" s="24">
        <v>1388.0</v>
      </c>
      <c r="U67" s="24">
        <v>21.0638</v>
      </c>
      <c r="V67" s="24">
        <v>10.6353</v>
      </c>
      <c r="W67" s="24">
        <v>2.4732</v>
      </c>
      <c r="X67" s="24">
        <v>2.9929</v>
      </c>
      <c r="Y67" s="24">
        <v>1.4063</v>
      </c>
      <c r="Z67" s="24">
        <v>101.5</v>
      </c>
      <c r="AA67" s="24">
        <v>24.4</v>
      </c>
      <c r="AB67" s="24">
        <v>5.2</v>
      </c>
      <c r="AC67" s="24">
        <v>43.0</v>
      </c>
      <c r="AD67" s="24">
        <v>8.9</v>
      </c>
      <c r="AE67" s="24">
        <v>1.1704</v>
      </c>
      <c r="AF67" s="24">
        <v>1.709302</v>
      </c>
      <c r="AG67" s="24">
        <v>1.078652</v>
      </c>
      <c r="AH67" s="24">
        <v>1.076923</v>
      </c>
      <c r="AI67" s="24">
        <v>1.102459</v>
      </c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</row>
    <row r="68">
      <c r="A68" s="51" t="s">
        <v>60</v>
      </c>
      <c r="B68" s="51" t="s">
        <v>107</v>
      </c>
      <c r="C68" s="24">
        <v>1995.0</v>
      </c>
      <c r="D68" s="24">
        <v>0.08207</v>
      </c>
      <c r="E68" s="52">
        <v>27.6</v>
      </c>
      <c r="F68" s="53">
        <f t="shared" si="1"/>
        <v>2.653828651</v>
      </c>
      <c r="G68" s="52">
        <v>2.9</v>
      </c>
      <c r="H68" s="54">
        <f t="shared" si="2"/>
        <v>0.2736018227</v>
      </c>
      <c r="I68" s="52">
        <v>10.8</v>
      </c>
      <c r="J68" s="54">
        <f t="shared" si="3"/>
        <v>1.566037712</v>
      </c>
      <c r="K68" s="55">
        <v>2.481481481</v>
      </c>
      <c r="L68" s="54">
        <f t="shared" si="4"/>
        <v>0.2355530858</v>
      </c>
      <c r="M68" s="55">
        <v>4.851851852</v>
      </c>
      <c r="N68" s="56">
        <f t="shared" si="5"/>
        <v>0.4288215648</v>
      </c>
      <c r="O68" s="57">
        <v>0.602</v>
      </c>
      <c r="P68" s="24">
        <v>20790.0</v>
      </c>
      <c r="Q68" s="24">
        <v>10497.0</v>
      </c>
      <c r="R68" s="24">
        <v>2441.0</v>
      </c>
      <c r="S68" s="24">
        <v>2954.0</v>
      </c>
      <c r="T68" s="24">
        <v>1388.0</v>
      </c>
      <c r="U68" s="24">
        <v>21.0638</v>
      </c>
      <c r="V68" s="24">
        <v>10.6353</v>
      </c>
      <c r="W68" s="24">
        <v>2.4732</v>
      </c>
      <c r="X68" s="24">
        <v>2.9929</v>
      </c>
      <c r="Y68" s="24">
        <v>1.4063</v>
      </c>
      <c r="Z68" s="24">
        <v>101.4</v>
      </c>
      <c r="AA68" s="24">
        <v>23.4</v>
      </c>
      <c r="AB68" s="24">
        <v>5.2</v>
      </c>
      <c r="AC68" s="24">
        <v>41.6</v>
      </c>
      <c r="AD68" s="24">
        <v>8.3</v>
      </c>
      <c r="AE68" s="24">
        <v>1.1716</v>
      </c>
      <c r="AF68" s="24">
        <v>1.766827</v>
      </c>
      <c r="AG68" s="24">
        <v>1.156627</v>
      </c>
      <c r="AH68" s="24">
        <v>1.076923</v>
      </c>
      <c r="AI68" s="24">
        <v>1.149573</v>
      </c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</row>
    <row r="69">
      <c r="A69" s="51" t="s">
        <v>60</v>
      </c>
      <c r="B69" s="51" t="s">
        <v>107</v>
      </c>
      <c r="C69" s="24">
        <v>1996.0</v>
      </c>
      <c r="D69" s="24">
        <v>0.08308</v>
      </c>
      <c r="E69" s="52">
        <v>25.0</v>
      </c>
      <c r="F69" s="53">
        <f t="shared" si="1"/>
        <v>2.479938</v>
      </c>
      <c r="G69" s="52">
        <v>3.0</v>
      </c>
      <c r="H69" s="54">
        <f t="shared" si="2"/>
        <v>0.2953548833</v>
      </c>
      <c r="I69" s="52">
        <v>12.2</v>
      </c>
      <c r="J69" s="54">
        <f t="shared" si="3"/>
        <v>1.803821678</v>
      </c>
      <c r="K69" s="55">
        <v>2.030487805</v>
      </c>
      <c r="L69" s="54">
        <f t="shared" si="4"/>
        <v>0.2024315122</v>
      </c>
      <c r="M69" s="55">
        <v>4.957317073</v>
      </c>
      <c r="N69" s="56">
        <f t="shared" si="5"/>
        <v>0.4522316472</v>
      </c>
      <c r="O69" s="57">
        <v>0.589</v>
      </c>
      <c r="P69" s="24">
        <v>20790.0</v>
      </c>
      <c r="Q69" s="24">
        <v>10497.0</v>
      </c>
      <c r="R69" s="24">
        <v>2441.0</v>
      </c>
      <c r="S69" s="24">
        <v>2954.0</v>
      </c>
      <c r="T69" s="24">
        <v>1388.0</v>
      </c>
      <c r="U69" s="24">
        <v>21.0638</v>
      </c>
      <c r="V69" s="24">
        <v>10.6353</v>
      </c>
      <c r="W69" s="24">
        <v>2.4732</v>
      </c>
      <c r="X69" s="24">
        <v>2.9929</v>
      </c>
      <c r="Y69" s="24">
        <v>1.4063</v>
      </c>
      <c r="Z69" s="24">
        <v>99.5</v>
      </c>
      <c r="AA69" s="24">
        <v>22.7</v>
      </c>
      <c r="AB69" s="24">
        <v>5.1</v>
      </c>
      <c r="AC69" s="24">
        <v>41.3</v>
      </c>
      <c r="AD69" s="24">
        <v>8.0</v>
      </c>
      <c r="AE69" s="24">
        <v>1.194</v>
      </c>
      <c r="AF69" s="24">
        <v>1.779661</v>
      </c>
      <c r="AG69" s="24">
        <v>1.2</v>
      </c>
      <c r="AH69" s="24">
        <v>1.098039</v>
      </c>
      <c r="AI69" s="24">
        <v>1.185022</v>
      </c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</row>
    <row r="70">
      <c r="A70" s="51" t="s">
        <v>60</v>
      </c>
      <c r="B70" s="51" t="s">
        <v>107</v>
      </c>
      <c r="C70" s="24">
        <v>1997.0</v>
      </c>
      <c r="D70" s="24">
        <v>0.00608</v>
      </c>
      <c r="E70" s="52">
        <v>17.7</v>
      </c>
      <c r="F70" s="53">
        <f t="shared" si="1"/>
        <v>0.131937216</v>
      </c>
      <c r="G70" s="52">
        <v>1.3</v>
      </c>
      <c r="H70" s="54">
        <f t="shared" si="2"/>
        <v>0.009664434208</v>
      </c>
      <c r="I70" s="52">
        <v>8.5</v>
      </c>
      <c r="J70" s="54">
        <f t="shared" si="3"/>
        <v>0.09242042928</v>
      </c>
      <c r="K70" s="55">
        <v>1.5</v>
      </c>
      <c r="L70" s="54">
        <f t="shared" si="4"/>
        <v>0.01067707584</v>
      </c>
      <c r="M70" s="55">
        <v>1.5</v>
      </c>
      <c r="N70" s="56">
        <f t="shared" si="5"/>
        <v>0.01042285584</v>
      </c>
      <c r="O70" s="57">
        <v>0.559</v>
      </c>
      <c r="P70" s="24">
        <v>20790.0</v>
      </c>
      <c r="Q70" s="24">
        <v>10497.0</v>
      </c>
      <c r="R70" s="24">
        <v>2441.0</v>
      </c>
      <c r="S70" s="24">
        <v>2954.0</v>
      </c>
      <c r="T70" s="24">
        <v>1388.0</v>
      </c>
      <c r="U70" s="24">
        <v>21.0638</v>
      </c>
      <c r="V70" s="24">
        <v>10.6353</v>
      </c>
      <c r="W70" s="24">
        <v>2.4732</v>
      </c>
      <c r="X70" s="24">
        <v>2.9929</v>
      </c>
      <c r="Y70" s="24">
        <v>1.4063</v>
      </c>
      <c r="Z70" s="24">
        <v>96.9</v>
      </c>
      <c r="AA70" s="24">
        <v>22.0</v>
      </c>
      <c r="AB70" s="24">
        <v>4.9</v>
      </c>
      <c r="AC70" s="24">
        <v>41.1</v>
      </c>
      <c r="AD70" s="24">
        <v>8.2</v>
      </c>
      <c r="AE70" s="24">
        <v>1.226</v>
      </c>
      <c r="AF70" s="24">
        <v>1.788321</v>
      </c>
      <c r="AG70" s="24">
        <v>1.170732</v>
      </c>
      <c r="AH70" s="24">
        <v>1.142857</v>
      </c>
      <c r="AI70" s="24">
        <v>1.222727</v>
      </c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</row>
    <row r="71">
      <c r="A71" s="51" t="s">
        <v>60</v>
      </c>
      <c r="B71" s="51" t="s">
        <v>107</v>
      </c>
      <c r="C71" s="24">
        <v>1998.0</v>
      </c>
      <c r="D71" s="24">
        <v>0.07396</v>
      </c>
      <c r="E71" s="52">
        <v>21.6</v>
      </c>
      <c r="F71" s="53">
        <f t="shared" si="1"/>
        <v>1.985257987</v>
      </c>
      <c r="G71" s="52">
        <v>2.7</v>
      </c>
      <c r="H71" s="54">
        <f t="shared" si="2"/>
        <v>0.2441688001</v>
      </c>
      <c r="I71" s="52">
        <v>10.6</v>
      </c>
      <c r="J71" s="54">
        <f t="shared" si="3"/>
        <v>1.38848735</v>
      </c>
      <c r="K71" s="55">
        <v>1.315068493</v>
      </c>
      <c r="L71" s="54">
        <f t="shared" si="4"/>
        <v>0.1111570898</v>
      </c>
      <c r="M71" s="55">
        <v>3.945205479</v>
      </c>
      <c r="N71" s="56">
        <f t="shared" si="5"/>
        <v>0.3203939419</v>
      </c>
      <c r="O71" s="57">
        <v>0.581</v>
      </c>
      <c r="P71" s="24">
        <v>20790.0</v>
      </c>
      <c r="Q71" s="24">
        <v>10497.0</v>
      </c>
      <c r="R71" s="24">
        <v>2441.0</v>
      </c>
      <c r="S71" s="24">
        <v>2954.0</v>
      </c>
      <c r="T71" s="24">
        <v>1388.0</v>
      </c>
      <c r="U71" s="24">
        <v>21.0638</v>
      </c>
      <c r="V71" s="24">
        <v>10.6353</v>
      </c>
      <c r="W71" s="24">
        <v>2.4732</v>
      </c>
      <c r="X71" s="24">
        <v>2.9929</v>
      </c>
      <c r="Y71" s="24">
        <v>1.4063</v>
      </c>
      <c r="Z71" s="24">
        <v>95.6</v>
      </c>
      <c r="AA71" s="24">
        <v>22.0</v>
      </c>
      <c r="AB71" s="24">
        <v>5.1</v>
      </c>
      <c r="AC71" s="24">
        <v>41.5</v>
      </c>
      <c r="AD71" s="24">
        <v>8.4</v>
      </c>
      <c r="AE71" s="24">
        <v>1.2427</v>
      </c>
      <c r="AF71" s="24">
        <v>1.771084</v>
      </c>
      <c r="AG71" s="24">
        <v>1.142857</v>
      </c>
      <c r="AH71" s="24">
        <v>1.098039</v>
      </c>
      <c r="AI71" s="24">
        <v>1.222727</v>
      </c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</row>
    <row r="72">
      <c r="A72" s="51" t="s">
        <v>60</v>
      </c>
      <c r="B72" s="51" t="s">
        <v>107</v>
      </c>
      <c r="C72" s="24">
        <v>1999.0</v>
      </c>
      <c r="D72" s="24">
        <v>0.04965</v>
      </c>
      <c r="E72" s="52">
        <v>15.8</v>
      </c>
      <c r="F72" s="53">
        <f t="shared" si="1"/>
        <v>1.017379143</v>
      </c>
      <c r="G72" s="52">
        <v>2.1</v>
      </c>
      <c r="H72" s="54">
        <f t="shared" si="2"/>
        <v>0.13549414</v>
      </c>
      <c r="I72" s="52">
        <v>10.0</v>
      </c>
      <c r="J72" s="54">
        <f t="shared" si="3"/>
        <v>0.875125935</v>
      </c>
      <c r="K72" s="55">
        <v>2.112244898</v>
      </c>
      <c r="L72" s="54">
        <f t="shared" si="4"/>
        <v>0.1198547955</v>
      </c>
      <c r="M72" s="55">
        <v>3.642857143</v>
      </c>
      <c r="N72" s="56">
        <f t="shared" si="5"/>
        <v>0.202572</v>
      </c>
      <c r="O72" s="57">
        <v>0.564</v>
      </c>
      <c r="P72" s="24">
        <v>20790.0</v>
      </c>
      <c r="Q72" s="24">
        <v>10497.0</v>
      </c>
      <c r="R72" s="24">
        <v>2441.0</v>
      </c>
      <c r="S72" s="24">
        <v>2954.0</v>
      </c>
      <c r="T72" s="24">
        <v>1388.0</v>
      </c>
      <c r="U72" s="24">
        <v>21.0638</v>
      </c>
      <c r="V72" s="24">
        <v>10.6353</v>
      </c>
      <c r="W72" s="24">
        <v>2.4732</v>
      </c>
      <c r="X72" s="24">
        <v>2.9929</v>
      </c>
      <c r="Y72" s="24">
        <v>1.4063</v>
      </c>
      <c r="Z72" s="24">
        <v>91.6</v>
      </c>
      <c r="AA72" s="24">
        <v>20.7</v>
      </c>
      <c r="AB72" s="24">
        <v>5.0</v>
      </c>
      <c r="AC72" s="24">
        <v>41.7</v>
      </c>
      <c r="AD72" s="24">
        <v>8.4</v>
      </c>
      <c r="AE72" s="24">
        <v>1.2969</v>
      </c>
      <c r="AF72" s="24">
        <v>1.76259</v>
      </c>
      <c r="AG72" s="24">
        <v>1.142857</v>
      </c>
      <c r="AH72" s="24">
        <v>1.12</v>
      </c>
      <c r="AI72" s="24">
        <v>1.299517</v>
      </c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</row>
    <row r="73">
      <c r="A73" s="51" t="s">
        <v>60</v>
      </c>
      <c r="B73" s="51" t="s">
        <v>107</v>
      </c>
      <c r="C73" s="24">
        <v>2000.0</v>
      </c>
      <c r="D73" s="24">
        <v>0.08105</v>
      </c>
      <c r="E73" s="52">
        <v>17.8</v>
      </c>
      <c r="F73" s="53">
        <f t="shared" si="1"/>
        <v>1.757917765</v>
      </c>
      <c r="G73" s="52">
        <v>1.8</v>
      </c>
      <c r="H73" s="54">
        <f t="shared" si="2"/>
        <v>0.1759838974</v>
      </c>
      <c r="I73" s="52">
        <v>9.6</v>
      </c>
      <c r="J73" s="54">
        <f t="shared" si="3"/>
        <v>1.333074349</v>
      </c>
      <c r="K73" s="55">
        <v>1.81875</v>
      </c>
      <c r="L73" s="54">
        <f t="shared" si="4"/>
        <v>0.1791307782</v>
      </c>
      <c r="M73" s="55">
        <v>3.43125</v>
      </c>
      <c r="N73" s="56">
        <f t="shared" si="5"/>
        <v>0.2994953151</v>
      </c>
      <c r="O73" s="57">
        <v>0.568</v>
      </c>
      <c r="P73" s="24">
        <v>20790.0</v>
      </c>
      <c r="Q73" s="24">
        <v>10497.0</v>
      </c>
      <c r="R73" s="24">
        <v>2441.0</v>
      </c>
      <c r="S73" s="24">
        <v>2954.0</v>
      </c>
      <c r="T73" s="24">
        <v>1388.0</v>
      </c>
      <c r="U73" s="24">
        <v>21.0638</v>
      </c>
      <c r="V73" s="24">
        <v>10.6353</v>
      </c>
      <c r="W73" s="24">
        <v>2.4732</v>
      </c>
      <c r="X73" s="24">
        <v>2.9929</v>
      </c>
      <c r="Y73" s="24">
        <v>1.4063</v>
      </c>
      <c r="Z73" s="24">
        <v>97.5</v>
      </c>
      <c r="AA73" s="24">
        <v>22.3</v>
      </c>
      <c r="AB73" s="24">
        <v>5.2</v>
      </c>
      <c r="AC73" s="24">
        <v>42.9</v>
      </c>
      <c r="AD73" s="24">
        <v>7.9</v>
      </c>
      <c r="AE73" s="24">
        <v>1.2185</v>
      </c>
      <c r="AF73" s="24">
        <v>1.713287</v>
      </c>
      <c r="AG73" s="24">
        <v>1.21519</v>
      </c>
      <c r="AH73" s="24">
        <v>1.076923</v>
      </c>
      <c r="AI73" s="24">
        <v>1.206278</v>
      </c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</row>
    <row r="74">
      <c r="A74" s="51" t="s">
        <v>60</v>
      </c>
      <c r="B74" s="51" t="s">
        <v>107</v>
      </c>
      <c r="C74" s="24">
        <v>2001.0</v>
      </c>
      <c r="D74" s="24">
        <v>0.08105</v>
      </c>
      <c r="E74" s="52">
        <v>14.4</v>
      </c>
      <c r="F74" s="53">
        <f t="shared" si="1"/>
        <v>1.462634784</v>
      </c>
      <c r="G74" s="52">
        <v>1.5</v>
      </c>
      <c r="H74" s="54">
        <f t="shared" si="2"/>
        <v>0.1500168634</v>
      </c>
      <c r="I74" s="52">
        <v>8.6</v>
      </c>
      <c r="J74" s="54">
        <f t="shared" si="3"/>
        <v>1.205452046</v>
      </c>
      <c r="K74" s="55">
        <v>1.5</v>
      </c>
      <c r="L74" s="54">
        <f t="shared" si="4"/>
        <v>0.1496307412</v>
      </c>
      <c r="M74" s="55">
        <v>3.69375</v>
      </c>
      <c r="N74" s="56">
        <f t="shared" si="5"/>
        <v>0.3163244546</v>
      </c>
      <c r="O74" s="57">
        <v>0.559</v>
      </c>
      <c r="P74" s="24">
        <v>20790.0</v>
      </c>
      <c r="Q74" s="24">
        <v>10497.0</v>
      </c>
      <c r="R74" s="24">
        <v>2441.0</v>
      </c>
      <c r="S74" s="24">
        <v>2954.0</v>
      </c>
      <c r="T74" s="24">
        <v>1388.0</v>
      </c>
      <c r="U74" s="24">
        <v>21.0638</v>
      </c>
      <c r="V74" s="24">
        <v>10.6353</v>
      </c>
      <c r="W74" s="24">
        <v>2.4732</v>
      </c>
      <c r="X74" s="24">
        <v>2.9929</v>
      </c>
      <c r="Y74" s="24">
        <v>1.4063</v>
      </c>
      <c r="Z74" s="24">
        <v>94.8</v>
      </c>
      <c r="AA74" s="24">
        <v>21.8</v>
      </c>
      <c r="AB74" s="24">
        <v>5.3</v>
      </c>
      <c r="AC74" s="24">
        <v>42.5</v>
      </c>
      <c r="AD74" s="24">
        <v>7.8</v>
      </c>
      <c r="AE74" s="24">
        <v>1.2532</v>
      </c>
      <c r="AF74" s="24">
        <v>1.729412</v>
      </c>
      <c r="AG74" s="24">
        <v>1.230769</v>
      </c>
      <c r="AH74" s="24">
        <v>1.056604</v>
      </c>
      <c r="AI74" s="24">
        <v>1.233945</v>
      </c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</row>
    <row r="75">
      <c r="A75" s="51" t="s">
        <v>60</v>
      </c>
      <c r="B75" s="51" t="s">
        <v>107</v>
      </c>
      <c r="C75" s="24">
        <v>2002.0</v>
      </c>
      <c r="D75" s="24">
        <v>0.07903</v>
      </c>
      <c r="E75" s="52">
        <v>12.2</v>
      </c>
      <c r="F75" s="53">
        <f t="shared" si="1"/>
        <v>1.199422504</v>
      </c>
      <c r="G75" s="52">
        <v>1.2</v>
      </c>
      <c r="H75" s="54">
        <f t="shared" si="2"/>
        <v>0.116488102</v>
      </c>
      <c r="I75" s="52">
        <v>8.3</v>
      </c>
      <c r="J75" s="54">
        <f t="shared" si="3"/>
        <v>1.137081688</v>
      </c>
      <c r="K75" s="55">
        <v>1.653846154</v>
      </c>
      <c r="L75" s="54">
        <f t="shared" si="4"/>
        <v>0.1608657687</v>
      </c>
      <c r="M75" s="55">
        <v>2.692307692</v>
      </c>
      <c r="N75" s="56">
        <f t="shared" si="5"/>
        <v>0.2291402203</v>
      </c>
      <c r="O75" s="57">
        <v>0.562</v>
      </c>
      <c r="P75" s="24">
        <v>20790.0</v>
      </c>
      <c r="Q75" s="24">
        <v>10497.0</v>
      </c>
      <c r="R75" s="24">
        <v>2441.0</v>
      </c>
      <c r="S75" s="24">
        <v>2954.0</v>
      </c>
      <c r="T75" s="24">
        <v>1388.0</v>
      </c>
      <c r="U75" s="24">
        <v>21.0638</v>
      </c>
      <c r="V75" s="24">
        <v>10.6353</v>
      </c>
      <c r="W75" s="24">
        <v>2.4732</v>
      </c>
      <c r="X75" s="24">
        <v>2.9929</v>
      </c>
      <c r="Y75" s="24">
        <v>1.4063</v>
      </c>
      <c r="Z75" s="24">
        <v>95.5</v>
      </c>
      <c r="AA75" s="24">
        <v>21.9</v>
      </c>
      <c r="AB75" s="24">
        <v>5.2</v>
      </c>
      <c r="AC75" s="24">
        <v>42.4</v>
      </c>
      <c r="AD75" s="24">
        <v>7.8</v>
      </c>
      <c r="AE75" s="24">
        <v>1.244</v>
      </c>
      <c r="AF75" s="24">
        <v>1.733491</v>
      </c>
      <c r="AG75" s="24">
        <v>1.230769</v>
      </c>
      <c r="AH75" s="24">
        <v>1.076923</v>
      </c>
      <c r="AI75" s="24">
        <v>1.228311</v>
      </c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</row>
    <row r="76">
      <c r="A76" s="51" t="s">
        <v>60</v>
      </c>
      <c r="B76" s="51" t="s">
        <v>107</v>
      </c>
      <c r="C76" s="24">
        <v>2003.0</v>
      </c>
      <c r="D76" s="24">
        <v>0.06484</v>
      </c>
      <c r="E76" s="52">
        <v>8.5</v>
      </c>
      <c r="F76" s="53">
        <f t="shared" si="1"/>
        <v>0.688484088</v>
      </c>
      <c r="G76" s="52">
        <v>1.0</v>
      </c>
      <c r="H76" s="54">
        <f t="shared" si="2"/>
        <v>0.08112540892</v>
      </c>
      <c r="I76" s="52">
        <v>7.9</v>
      </c>
      <c r="J76" s="54">
        <f t="shared" si="3"/>
        <v>0.890055639</v>
      </c>
      <c r="K76" s="55">
        <v>1.21875</v>
      </c>
      <c r="L76" s="54">
        <f t="shared" si="4"/>
        <v>0.09602887076</v>
      </c>
      <c r="M76" s="55">
        <v>2.6015625</v>
      </c>
      <c r="N76" s="56">
        <f t="shared" si="5"/>
        <v>0.18892755</v>
      </c>
      <c r="O76" s="57">
        <v>0.531</v>
      </c>
      <c r="P76" s="24">
        <v>20790.0</v>
      </c>
      <c r="Q76" s="24">
        <v>10497.0</v>
      </c>
      <c r="R76" s="24">
        <v>2441.0</v>
      </c>
      <c r="S76" s="24">
        <v>2954.0</v>
      </c>
      <c r="T76" s="24">
        <v>1388.0</v>
      </c>
      <c r="U76" s="24">
        <v>21.0638</v>
      </c>
      <c r="V76" s="24">
        <v>10.6353</v>
      </c>
      <c r="W76" s="24">
        <v>2.4732</v>
      </c>
      <c r="X76" s="24">
        <v>2.9929</v>
      </c>
      <c r="Y76" s="24">
        <v>1.4063</v>
      </c>
      <c r="Z76" s="24">
        <v>95.1</v>
      </c>
      <c r="AA76" s="24">
        <v>21.5</v>
      </c>
      <c r="AB76" s="24">
        <v>5.0</v>
      </c>
      <c r="AC76" s="24">
        <v>42.3</v>
      </c>
      <c r="AD76" s="24">
        <v>7.9</v>
      </c>
      <c r="AE76" s="24">
        <v>1.2492</v>
      </c>
      <c r="AF76" s="24">
        <v>1.737589</v>
      </c>
      <c r="AG76" s="24">
        <v>1.21519</v>
      </c>
      <c r="AH76" s="24">
        <v>1.12</v>
      </c>
      <c r="AI76" s="24">
        <v>1.251163</v>
      </c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</row>
    <row r="77">
      <c r="A77" s="51" t="s">
        <v>43</v>
      </c>
      <c r="B77" s="51" t="s">
        <v>111</v>
      </c>
      <c r="C77" s="24">
        <v>1999.0</v>
      </c>
      <c r="D77" s="24">
        <v>0.03088</v>
      </c>
      <c r="E77" s="52">
        <v>8.2</v>
      </c>
      <c r="F77" s="53">
        <f t="shared" si="1"/>
        <v>0.3283958304</v>
      </c>
      <c r="G77" s="52">
        <v>1.0</v>
      </c>
      <c r="H77" s="54">
        <f t="shared" si="2"/>
        <v>0.04012908496</v>
      </c>
      <c r="I77" s="52">
        <v>3.4</v>
      </c>
      <c r="J77" s="54">
        <f t="shared" si="3"/>
        <v>0.1850578493</v>
      </c>
      <c r="K77" s="55">
        <v>0.925531915</v>
      </c>
      <c r="L77" s="54">
        <f t="shared" si="4"/>
        <v>0.03266333939</v>
      </c>
      <c r="M77" s="55">
        <v>0.861702128</v>
      </c>
      <c r="N77" s="56">
        <f t="shared" si="5"/>
        <v>0.02980248512</v>
      </c>
      <c r="O77" s="57">
        <v>0.491</v>
      </c>
      <c r="P77" s="24">
        <v>31560.0</v>
      </c>
      <c r="Q77" s="24">
        <v>11489.0</v>
      </c>
      <c r="R77" s="24">
        <v>3651.0</v>
      </c>
      <c r="S77" s="24">
        <v>1281.0</v>
      </c>
      <c r="T77" s="24">
        <v>1210.0</v>
      </c>
      <c r="U77" s="24">
        <v>20.7359</v>
      </c>
      <c r="V77" s="24">
        <v>7.5486</v>
      </c>
      <c r="W77" s="24">
        <v>2.3988</v>
      </c>
      <c r="X77" s="24">
        <v>0.8417</v>
      </c>
      <c r="Y77" s="24">
        <v>0.795</v>
      </c>
      <c r="Z77" s="24">
        <v>91.6</v>
      </c>
      <c r="AA77" s="24">
        <v>20.7</v>
      </c>
      <c r="AB77" s="24">
        <v>5.0</v>
      </c>
      <c r="AC77" s="24">
        <v>41.7</v>
      </c>
      <c r="AD77" s="24">
        <v>8.4</v>
      </c>
      <c r="AE77" s="24">
        <v>1.2969</v>
      </c>
      <c r="AF77" s="24">
        <v>1.76259</v>
      </c>
      <c r="AG77" s="24">
        <v>1.142857</v>
      </c>
      <c r="AH77" s="24">
        <v>1.12</v>
      </c>
      <c r="AI77" s="24">
        <v>1.299517</v>
      </c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</row>
    <row r="78">
      <c r="A78" s="51" t="s">
        <v>43</v>
      </c>
      <c r="B78" s="51" t="s">
        <v>111</v>
      </c>
      <c r="C78" s="24">
        <v>2000.0</v>
      </c>
      <c r="D78" s="24">
        <v>0.05388</v>
      </c>
      <c r="E78" s="52">
        <v>17.5</v>
      </c>
      <c r="F78" s="53">
        <f t="shared" si="1"/>
        <v>1.14892365</v>
      </c>
      <c r="G78" s="52">
        <v>2.5</v>
      </c>
      <c r="H78" s="54">
        <f t="shared" si="2"/>
        <v>0.1624856466</v>
      </c>
      <c r="I78" s="52">
        <v>6.5</v>
      </c>
      <c r="J78" s="54">
        <f t="shared" si="3"/>
        <v>0.6000273731</v>
      </c>
      <c r="K78" s="55">
        <v>1.152439024</v>
      </c>
      <c r="L78" s="54">
        <f t="shared" si="4"/>
        <v>0.0754552965</v>
      </c>
      <c r="M78" s="55">
        <v>1.243902439</v>
      </c>
      <c r="N78" s="56">
        <f t="shared" si="5"/>
        <v>0.07217695544</v>
      </c>
      <c r="O78" s="57">
        <v>0.564</v>
      </c>
      <c r="P78" s="24">
        <v>31560.0</v>
      </c>
      <c r="Q78" s="24">
        <v>11489.0</v>
      </c>
      <c r="R78" s="24">
        <v>3651.0</v>
      </c>
      <c r="S78" s="24">
        <v>1281.0</v>
      </c>
      <c r="T78" s="24">
        <v>1210.0</v>
      </c>
      <c r="U78" s="24">
        <v>20.7359</v>
      </c>
      <c r="V78" s="24">
        <v>7.5486</v>
      </c>
      <c r="W78" s="24">
        <v>2.3988</v>
      </c>
      <c r="X78" s="24">
        <v>0.8417</v>
      </c>
      <c r="Y78" s="24">
        <v>0.795</v>
      </c>
      <c r="Z78" s="24">
        <v>97.5</v>
      </c>
      <c r="AA78" s="24">
        <v>22.3</v>
      </c>
      <c r="AB78" s="24">
        <v>5.2</v>
      </c>
      <c r="AC78" s="24">
        <v>42.9</v>
      </c>
      <c r="AD78" s="24">
        <v>7.9</v>
      </c>
      <c r="AE78" s="24">
        <v>1.2185</v>
      </c>
      <c r="AF78" s="24">
        <v>1.713287</v>
      </c>
      <c r="AG78" s="24">
        <v>1.21519</v>
      </c>
      <c r="AH78" s="24">
        <v>1.076923</v>
      </c>
      <c r="AI78" s="24">
        <v>1.206278</v>
      </c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</row>
    <row r="79">
      <c r="A79" s="51" t="s">
        <v>43</v>
      </c>
      <c r="B79" s="51" t="s">
        <v>111</v>
      </c>
      <c r="C79" s="24">
        <v>2001.0</v>
      </c>
      <c r="D79" s="24">
        <v>0.05388</v>
      </c>
      <c r="E79" s="52">
        <v>21.8</v>
      </c>
      <c r="F79" s="53">
        <f t="shared" si="1"/>
        <v>1.471988669</v>
      </c>
      <c r="G79" s="52">
        <v>2.1</v>
      </c>
      <c r="H79" s="54">
        <f t="shared" si="2"/>
        <v>0.1396184089</v>
      </c>
      <c r="I79" s="52">
        <v>9.2</v>
      </c>
      <c r="J79" s="54">
        <f t="shared" si="3"/>
        <v>0.8572626108</v>
      </c>
      <c r="K79" s="55">
        <v>1.445121951</v>
      </c>
      <c r="L79" s="54">
        <f t="shared" si="4"/>
        <v>0.09583157676</v>
      </c>
      <c r="M79" s="55">
        <v>1.847560976</v>
      </c>
      <c r="N79" s="56">
        <f t="shared" si="5"/>
        <v>0.1051813203</v>
      </c>
      <c r="O79" s="57">
        <v>0.601</v>
      </c>
      <c r="P79" s="24">
        <v>31560.0</v>
      </c>
      <c r="Q79" s="24">
        <v>11489.0</v>
      </c>
      <c r="R79" s="24">
        <v>3651.0</v>
      </c>
      <c r="S79" s="24">
        <v>1281.0</v>
      </c>
      <c r="T79" s="24">
        <v>1210.0</v>
      </c>
      <c r="U79" s="24">
        <v>20.7359</v>
      </c>
      <c r="V79" s="24">
        <v>7.5486</v>
      </c>
      <c r="W79" s="24">
        <v>2.3988</v>
      </c>
      <c r="X79" s="24">
        <v>0.8417</v>
      </c>
      <c r="Y79" s="24">
        <v>0.795</v>
      </c>
      <c r="Z79" s="24">
        <v>94.8</v>
      </c>
      <c r="AA79" s="24">
        <v>21.8</v>
      </c>
      <c r="AB79" s="24">
        <v>5.3</v>
      </c>
      <c r="AC79" s="24">
        <v>42.5</v>
      </c>
      <c r="AD79" s="24">
        <v>7.8</v>
      </c>
      <c r="AE79" s="24">
        <v>1.2532</v>
      </c>
      <c r="AF79" s="24">
        <v>1.729412</v>
      </c>
      <c r="AG79" s="24">
        <v>1.230769</v>
      </c>
      <c r="AH79" s="24">
        <v>1.056604</v>
      </c>
      <c r="AI79" s="24">
        <v>1.233945</v>
      </c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</row>
    <row r="80">
      <c r="A80" s="51" t="s">
        <v>43</v>
      </c>
      <c r="B80" s="51" t="s">
        <v>111</v>
      </c>
      <c r="C80" s="24">
        <v>2002.0</v>
      </c>
      <c r="D80" s="24">
        <v>0.04993</v>
      </c>
      <c r="E80" s="52">
        <v>23.4</v>
      </c>
      <c r="F80" s="53">
        <f t="shared" si="1"/>
        <v>1.453442328</v>
      </c>
      <c r="G80" s="52">
        <v>2.4</v>
      </c>
      <c r="H80" s="54">
        <f t="shared" si="2"/>
        <v>0.1471909638</v>
      </c>
      <c r="I80" s="52">
        <v>9.9</v>
      </c>
      <c r="J80" s="54">
        <f t="shared" si="3"/>
        <v>0.8568767357</v>
      </c>
      <c r="K80" s="55">
        <v>1.638157895</v>
      </c>
      <c r="L80" s="54">
        <f t="shared" si="4"/>
        <v>0.1006685641</v>
      </c>
      <c r="M80" s="55">
        <v>1.519736842</v>
      </c>
      <c r="N80" s="56">
        <f t="shared" si="5"/>
        <v>0.08171741319</v>
      </c>
      <c r="O80" s="57">
        <v>0.599</v>
      </c>
      <c r="P80" s="24">
        <v>31560.0</v>
      </c>
      <c r="Q80" s="24">
        <v>11489.0</v>
      </c>
      <c r="R80" s="24">
        <v>3651.0</v>
      </c>
      <c r="S80" s="24">
        <v>1281.0</v>
      </c>
      <c r="T80" s="24">
        <v>1210.0</v>
      </c>
      <c r="U80" s="24">
        <v>20.7359</v>
      </c>
      <c r="V80" s="24">
        <v>7.5486</v>
      </c>
      <c r="W80" s="24">
        <v>2.3988</v>
      </c>
      <c r="X80" s="24">
        <v>0.8417</v>
      </c>
      <c r="Y80" s="24">
        <v>0.795</v>
      </c>
      <c r="Z80" s="24">
        <v>95.5</v>
      </c>
      <c r="AA80" s="24">
        <v>21.9</v>
      </c>
      <c r="AB80" s="24">
        <v>5.2</v>
      </c>
      <c r="AC80" s="24">
        <v>42.4</v>
      </c>
      <c r="AD80" s="24">
        <v>7.8</v>
      </c>
      <c r="AE80" s="24">
        <v>1.244</v>
      </c>
      <c r="AF80" s="24">
        <v>1.733491</v>
      </c>
      <c r="AG80" s="24">
        <v>1.230769</v>
      </c>
      <c r="AH80" s="24">
        <v>1.076923</v>
      </c>
      <c r="AI80" s="24">
        <v>1.228311</v>
      </c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</row>
    <row r="81">
      <c r="A81" s="51" t="s">
        <v>43</v>
      </c>
      <c r="B81" s="51" t="s">
        <v>111</v>
      </c>
      <c r="C81" s="24">
        <v>2003.0</v>
      </c>
      <c r="D81" s="24">
        <v>0.05256</v>
      </c>
      <c r="E81" s="52">
        <v>25.1</v>
      </c>
      <c r="F81" s="53">
        <f t="shared" si="1"/>
        <v>1.648014595</v>
      </c>
      <c r="G81" s="52">
        <v>3.0</v>
      </c>
      <c r="H81" s="54">
        <f t="shared" si="2"/>
        <v>0.1972833818</v>
      </c>
      <c r="I81" s="52">
        <v>9.9</v>
      </c>
      <c r="J81" s="54">
        <f t="shared" si="3"/>
        <v>0.9041440106</v>
      </c>
      <c r="K81" s="55">
        <v>2.08125</v>
      </c>
      <c r="L81" s="54">
        <f t="shared" si="4"/>
        <v>0.1329302417</v>
      </c>
      <c r="M81" s="55">
        <v>1.5375</v>
      </c>
      <c r="N81" s="56">
        <f t="shared" si="5"/>
        <v>0.09050832</v>
      </c>
      <c r="O81" s="57">
        <v>0.581</v>
      </c>
      <c r="P81" s="24">
        <v>31560.0</v>
      </c>
      <c r="Q81" s="24">
        <v>11489.0</v>
      </c>
      <c r="R81" s="24">
        <v>3651.0</v>
      </c>
      <c r="S81" s="24">
        <v>1281.0</v>
      </c>
      <c r="T81" s="24">
        <v>1210.0</v>
      </c>
      <c r="U81" s="24">
        <v>20.7359</v>
      </c>
      <c r="V81" s="24">
        <v>7.5486</v>
      </c>
      <c r="W81" s="24">
        <v>2.3988</v>
      </c>
      <c r="X81" s="24">
        <v>0.8417</v>
      </c>
      <c r="Y81" s="24">
        <v>0.795</v>
      </c>
      <c r="Z81" s="24">
        <v>95.1</v>
      </c>
      <c r="AA81" s="24">
        <v>21.5</v>
      </c>
      <c r="AB81" s="24">
        <v>5.0</v>
      </c>
      <c r="AC81" s="24">
        <v>42.3</v>
      </c>
      <c r="AD81" s="24">
        <v>7.9</v>
      </c>
      <c r="AE81" s="24">
        <v>1.2492</v>
      </c>
      <c r="AF81" s="24">
        <v>1.737589</v>
      </c>
      <c r="AG81" s="24">
        <v>1.21519</v>
      </c>
      <c r="AH81" s="24">
        <v>1.12</v>
      </c>
      <c r="AI81" s="24">
        <v>1.251163</v>
      </c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</row>
    <row r="82">
      <c r="A82" s="51" t="s">
        <v>43</v>
      </c>
      <c r="B82" s="51" t="s">
        <v>111</v>
      </c>
      <c r="C82" s="24">
        <v>2004.0</v>
      </c>
      <c r="D82" s="24">
        <v>0.05059</v>
      </c>
      <c r="E82" s="52">
        <v>21.8</v>
      </c>
      <c r="F82" s="53">
        <f t="shared" si="1"/>
        <v>1.402730178</v>
      </c>
      <c r="G82" s="52">
        <v>2.7</v>
      </c>
      <c r="H82" s="54">
        <f t="shared" si="2"/>
        <v>0.1725048022</v>
      </c>
      <c r="I82" s="52">
        <v>8.7</v>
      </c>
      <c r="J82" s="54">
        <f t="shared" si="3"/>
        <v>0.7665822869</v>
      </c>
      <c r="K82" s="55">
        <v>1.792207792</v>
      </c>
      <c r="L82" s="54">
        <f t="shared" si="4"/>
        <v>0.1101785944</v>
      </c>
      <c r="M82" s="55">
        <v>2.025974026</v>
      </c>
      <c r="N82" s="56">
        <f t="shared" si="5"/>
        <v>0.1125424378</v>
      </c>
      <c r="O82" s="57">
        <v>0.561</v>
      </c>
      <c r="P82" s="24">
        <v>31560.0</v>
      </c>
      <c r="Q82" s="24">
        <v>11489.0</v>
      </c>
      <c r="R82" s="24">
        <v>3651.0</v>
      </c>
      <c r="S82" s="24">
        <v>1281.0</v>
      </c>
      <c r="T82" s="24">
        <v>1210.0</v>
      </c>
      <c r="U82" s="24">
        <v>20.7359</v>
      </c>
      <c r="V82" s="24">
        <v>7.5486</v>
      </c>
      <c r="W82" s="24">
        <v>2.3988</v>
      </c>
      <c r="X82" s="24">
        <v>0.8417</v>
      </c>
      <c r="Y82" s="24">
        <v>0.795</v>
      </c>
      <c r="Z82" s="24">
        <v>93.4</v>
      </c>
      <c r="AA82" s="24">
        <v>21.3</v>
      </c>
      <c r="AB82" s="24">
        <v>5.1</v>
      </c>
      <c r="AC82" s="24">
        <v>42.2</v>
      </c>
      <c r="AD82" s="24">
        <v>7.9</v>
      </c>
      <c r="AE82" s="24">
        <v>1.2719</v>
      </c>
      <c r="AF82" s="24">
        <v>1.741706</v>
      </c>
      <c r="AG82" s="24">
        <v>1.21519</v>
      </c>
      <c r="AH82" s="24">
        <v>1.098039</v>
      </c>
      <c r="AI82" s="24">
        <v>1.262911</v>
      </c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</row>
    <row r="83">
      <c r="A83" s="51" t="s">
        <v>43</v>
      </c>
      <c r="B83" s="51" t="s">
        <v>111</v>
      </c>
      <c r="C83" s="24">
        <v>2005.0</v>
      </c>
      <c r="D83" s="24">
        <v>0.05125</v>
      </c>
      <c r="E83" s="52">
        <v>26.1</v>
      </c>
      <c r="F83" s="53">
        <f t="shared" si="1"/>
        <v>1.634845275</v>
      </c>
      <c r="G83" s="52">
        <v>3.1</v>
      </c>
      <c r="H83" s="54">
        <f t="shared" si="2"/>
        <v>0.2006449851</v>
      </c>
      <c r="I83" s="52">
        <v>9.7</v>
      </c>
      <c r="J83" s="54">
        <f t="shared" si="3"/>
        <v>0.8720452411</v>
      </c>
      <c r="K83" s="55">
        <v>1.865384615</v>
      </c>
      <c r="L83" s="54">
        <f t="shared" si="4"/>
        <v>0.1223692307</v>
      </c>
      <c r="M83" s="55">
        <v>2.288461538</v>
      </c>
      <c r="N83" s="56">
        <f t="shared" si="5"/>
        <v>0.1340384448</v>
      </c>
      <c r="O83" s="57">
        <v>0.578</v>
      </c>
      <c r="P83" s="24">
        <v>31560.0</v>
      </c>
      <c r="Q83" s="24">
        <v>11489.0</v>
      </c>
      <c r="R83" s="24">
        <v>3651.0</v>
      </c>
      <c r="S83" s="24">
        <v>1281.0</v>
      </c>
      <c r="T83" s="24">
        <v>1210.0</v>
      </c>
      <c r="U83" s="24">
        <v>20.7359</v>
      </c>
      <c r="V83" s="24">
        <v>7.5486</v>
      </c>
      <c r="W83" s="24">
        <v>2.3988</v>
      </c>
      <c r="X83" s="24">
        <v>0.8417</v>
      </c>
      <c r="Y83" s="24">
        <v>0.795</v>
      </c>
      <c r="Z83" s="24">
        <v>97.2</v>
      </c>
      <c r="AA83" s="24">
        <v>21.3</v>
      </c>
      <c r="AB83" s="24">
        <v>4.9</v>
      </c>
      <c r="AC83" s="24">
        <v>41.9</v>
      </c>
      <c r="AD83" s="24">
        <v>7.5</v>
      </c>
      <c r="AE83" s="24">
        <v>1.2222</v>
      </c>
      <c r="AF83" s="24">
        <v>1.754177</v>
      </c>
      <c r="AG83" s="24">
        <v>1.28</v>
      </c>
      <c r="AH83" s="24">
        <v>1.142857</v>
      </c>
      <c r="AI83" s="24">
        <v>1.262911</v>
      </c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</row>
    <row r="84">
      <c r="A84" s="51" t="s">
        <v>43</v>
      </c>
      <c r="B84" s="51" t="s">
        <v>111</v>
      </c>
      <c r="C84" s="24">
        <v>2006.0</v>
      </c>
      <c r="D84" s="24">
        <v>0.05322</v>
      </c>
      <c r="E84" s="52">
        <v>26.6</v>
      </c>
      <c r="F84" s="53">
        <f t="shared" si="1"/>
        <v>1.733749004</v>
      </c>
      <c r="G84" s="52">
        <v>2.8</v>
      </c>
      <c r="H84" s="54">
        <f t="shared" si="2"/>
        <v>0.1945888182</v>
      </c>
      <c r="I84" s="52">
        <v>9.0</v>
      </c>
      <c r="J84" s="54">
        <f t="shared" si="3"/>
        <v>0.8586593033</v>
      </c>
      <c r="K84" s="55">
        <v>1.074074074</v>
      </c>
      <c r="L84" s="54">
        <f t="shared" si="4"/>
        <v>0.07621627724</v>
      </c>
      <c r="M84" s="55">
        <v>1.537037037</v>
      </c>
      <c r="N84" s="56">
        <f t="shared" si="5"/>
        <v>0.09746512407</v>
      </c>
      <c r="O84" s="57">
        <v>0.589</v>
      </c>
      <c r="P84" s="24">
        <v>31560.0</v>
      </c>
      <c r="Q84" s="24">
        <v>11489.0</v>
      </c>
      <c r="R84" s="24">
        <v>3651.0</v>
      </c>
      <c r="S84" s="24">
        <v>1281.0</v>
      </c>
      <c r="T84" s="24">
        <v>1210.0</v>
      </c>
      <c r="U84" s="24">
        <v>20.7359</v>
      </c>
      <c r="V84" s="24">
        <v>7.5486</v>
      </c>
      <c r="W84" s="24">
        <v>2.3988</v>
      </c>
      <c r="X84" s="24">
        <v>0.8417</v>
      </c>
      <c r="Y84" s="24">
        <v>0.795</v>
      </c>
      <c r="Z84" s="24">
        <v>97.0</v>
      </c>
      <c r="AA84" s="24">
        <v>20.6</v>
      </c>
      <c r="AB84" s="24">
        <v>4.7</v>
      </c>
      <c r="AC84" s="24">
        <v>41.0</v>
      </c>
      <c r="AD84" s="24">
        <v>7.2</v>
      </c>
      <c r="AE84" s="24">
        <v>1.2247</v>
      </c>
      <c r="AF84" s="24">
        <v>1.792683</v>
      </c>
      <c r="AG84" s="24">
        <v>1.333333</v>
      </c>
      <c r="AH84" s="24">
        <v>1.191489</v>
      </c>
      <c r="AI84" s="24">
        <v>1.305825</v>
      </c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</row>
    <row r="85">
      <c r="A85" s="51" t="s">
        <v>43</v>
      </c>
      <c r="B85" s="51" t="s">
        <v>111</v>
      </c>
      <c r="C85" s="24">
        <v>2007.0</v>
      </c>
      <c r="D85" s="24">
        <v>0.05125</v>
      </c>
      <c r="E85" s="52">
        <v>24.6</v>
      </c>
      <c r="F85" s="53">
        <f t="shared" si="1"/>
        <v>1.5174387</v>
      </c>
      <c r="G85" s="52">
        <v>3.4</v>
      </c>
      <c r="H85" s="54">
        <f t="shared" si="2"/>
        <v>0.2200622418</v>
      </c>
      <c r="I85" s="52">
        <v>8.9</v>
      </c>
      <c r="J85" s="54">
        <f t="shared" si="3"/>
        <v>0.8156979161</v>
      </c>
      <c r="K85" s="55">
        <v>1.0</v>
      </c>
      <c r="L85" s="54">
        <f t="shared" si="4"/>
        <v>0.06833331625</v>
      </c>
      <c r="M85" s="55">
        <v>1.192307692</v>
      </c>
      <c r="N85" s="56">
        <f t="shared" si="5"/>
        <v>0.07438961349</v>
      </c>
      <c r="O85" s="57">
        <v>0.605</v>
      </c>
      <c r="P85" s="24">
        <v>31560.0</v>
      </c>
      <c r="Q85" s="24">
        <v>11489.0</v>
      </c>
      <c r="R85" s="24">
        <v>3651.0</v>
      </c>
      <c r="S85" s="24">
        <v>1281.0</v>
      </c>
      <c r="T85" s="24">
        <v>1210.0</v>
      </c>
      <c r="U85" s="24">
        <v>20.7359</v>
      </c>
      <c r="V85" s="24">
        <v>7.5486</v>
      </c>
      <c r="W85" s="24">
        <v>2.3988</v>
      </c>
      <c r="X85" s="24">
        <v>0.8417</v>
      </c>
      <c r="Y85" s="24">
        <v>0.795</v>
      </c>
      <c r="Z85" s="24">
        <v>98.7</v>
      </c>
      <c r="AA85" s="24">
        <v>21.3</v>
      </c>
      <c r="AB85" s="24">
        <v>4.6</v>
      </c>
      <c r="AC85" s="24">
        <v>41.1</v>
      </c>
      <c r="AD85" s="24">
        <v>7.2</v>
      </c>
      <c r="AE85" s="24">
        <v>1.2036</v>
      </c>
      <c r="AF85" s="24">
        <v>1.788321</v>
      </c>
      <c r="AG85" s="24">
        <v>1.333333</v>
      </c>
      <c r="AH85" s="24">
        <v>1.217391</v>
      </c>
      <c r="AI85" s="24">
        <v>1.262911</v>
      </c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</row>
    <row r="86">
      <c r="A86" s="51" t="s">
        <v>43</v>
      </c>
      <c r="B86" s="51" t="s">
        <v>111</v>
      </c>
      <c r="C86" s="24">
        <v>2008.0</v>
      </c>
      <c r="D86" s="24">
        <v>0.05059</v>
      </c>
      <c r="E86" s="52">
        <v>23.6</v>
      </c>
      <c r="F86" s="53">
        <f t="shared" si="1"/>
        <v>1.419814421</v>
      </c>
      <c r="G86" s="52">
        <v>3.5</v>
      </c>
      <c r="H86" s="54">
        <f t="shared" si="2"/>
        <v>0.2184884714</v>
      </c>
      <c r="I86" s="52">
        <v>8.6</v>
      </c>
      <c r="J86" s="54">
        <f t="shared" si="3"/>
        <v>0.7613795</v>
      </c>
      <c r="K86" s="55">
        <v>0.993506494</v>
      </c>
      <c r="L86" s="54">
        <f t="shared" si="4"/>
        <v>0.06609728178</v>
      </c>
      <c r="M86" s="55">
        <v>1.383116883</v>
      </c>
      <c r="N86" s="56">
        <f t="shared" si="5"/>
        <v>0.08337072904</v>
      </c>
      <c r="O86" s="57">
        <v>0.585</v>
      </c>
      <c r="P86" s="24">
        <v>31560.0</v>
      </c>
      <c r="Q86" s="24">
        <v>11489.0</v>
      </c>
      <c r="R86" s="24">
        <v>3651.0</v>
      </c>
      <c r="S86" s="24">
        <v>1281.0</v>
      </c>
      <c r="T86" s="24">
        <v>1210.0</v>
      </c>
      <c r="U86" s="24">
        <v>20.7359</v>
      </c>
      <c r="V86" s="24">
        <v>7.5486</v>
      </c>
      <c r="W86" s="24">
        <v>2.3988</v>
      </c>
      <c r="X86" s="24">
        <v>0.8417</v>
      </c>
      <c r="Y86" s="24">
        <v>0.795</v>
      </c>
      <c r="Z86" s="24">
        <v>99.9</v>
      </c>
      <c r="AA86" s="24">
        <v>21.8</v>
      </c>
      <c r="AB86" s="24">
        <v>4.7</v>
      </c>
      <c r="AC86" s="24">
        <v>42.0</v>
      </c>
      <c r="AD86" s="24">
        <v>7.3</v>
      </c>
      <c r="AE86" s="24">
        <v>1.1892</v>
      </c>
      <c r="AF86" s="24">
        <v>1.75</v>
      </c>
      <c r="AG86" s="24">
        <v>1.315068</v>
      </c>
      <c r="AH86" s="24">
        <v>1.191489</v>
      </c>
      <c r="AI86" s="24">
        <v>1.233945</v>
      </c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</row>
    <row r="87">
      <c r="A87" s="51" t="s">
        <v>43</v>
      </c>
      <c r="B87" s="51" t="s">
        <v>111</v>
      </c>
      <c r="C87" s="24">
        <v>2009.0</v>
      </c>
      <c r="D87" s="24">
        <v>0.05322</v>
      </c>
      <c r="E87" s="52">
        <v>25.9</v>
      </c>
      <c r="F87" s="53">
        <f t="shared" si="1"/>
        <v>1.637536824</v>
      </c>
      <c r="G87" s="52">
        <v>2.4</v>
      </c>
      <c r="H87" s="54">
        <f t="shared" si="2"/>
        <v>0.1636134371</v>
      </c>
      <c r="I87" s="52">
        <v>8.4</v>
      </c>
      <c r="J87" s="54">
        <f t="shared" si="3"/>
        <v>0.7955938907</v>
      </c>
      <c r="K87" s="55">
        <v>1.12962963</v>
      </c>
      <c r="L87" s="54">
        <f t="shared" si="4"/>
        <v>0.079060427</v>
      </c>
      <c r="M87" s="55">
        <v>1.166666667</v>
      </c>
      <c r="N87" s="56">
        <f t="shared" si="5"/>
        <v>0.07243835405</v>
      </c>
      <c r="O87" s="57">
        <v>0.564</v>
      </c>
      <c r="P87" s="24">
        <v>31560.0</v>
      </c>
      <c r="Q87" s="24">
        <v>11489.0</v>
      </c>
      <c r="R87" s="24">
        <v>3651.0</v>
      </c>
      <c r="S87" s="24">
        <v>1281.0</v>
      </c>
      <c r="T87" s="24">
        <v>1210.0</v>
      </c>
      <c r="U87" s="24">
        <v>20.7359</v>
      </c>
      <c r="V87" s="24">
        <v>7.5486</v>
      </c>
      <c r="W87" s="24">
        <v>2.3988</v>
      </c>
      <c r="X87" s="24">
        <v>0.8417</v>
      </c>
      <c r="Y87" s="24">
        <v>0.795</v>
      </c>
      <c r="Z87" s="24">
        <v>100.0</v>
      </c>
      <c r="AA87" s="24">
        <v>21.0</v>
      </c>
      <c r="AB87" s="24">
        <v>4.8</v>
      </c>
      <c r="AC87" s="24">
        <v>41.3</v>
      </c>
      <c r="AD87" s="24">
        <v>7.3</v>
      </c>
      <c r="AE87" s="24">
        <v>1.188</v>
      </c>
      <c r="AF87" s="24">
        <v>1.779661</v>
      </c>
      <c r="AG87" s="24">
        <v>1.315068</v>
      </c>
      <c r="AH87" s="24">
        <v>1.166667</v>
      </c>
      <c r="AI87" s="24">
        <v>1.280952</v>
      </c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</row>
    <row r="88">
      <c r="A88" s="51" t="s">
        <v>43</v>
      </c>
      <c r="B88" s="51" t="s">
        <v>111</v>
      </c>
      <c r="C88" s="24">
        <v>2010.0</v>
      </c>
      <c r="D88" s="24">
        <v>0.05322</v>
      </c>
      <c r="E88" s="52">
        <v>25.0</v>
      </c>
      <c r="F88" s="53">
        <f t="shared" si="1"/>
        <v>1.57438065</v>
      </c>
      <c r="G88" s="52">
        <v>2.7</v>
      </c>
      <c r="H88" s="54">
        <f t="shared" si="2"/>
        <v>0.1823287184</v>
      </c>
      <c r="I88" s="52">
        <v>7.7</v>
      </c>
      <c r="J88" s="54">
        <f t="shared" si="3"/>
        <v>0.7222988065</v>
      </c>
      <c r="K88" s="55">
        <v>1.296296296</v>
      </c>
      <c r="L88" s="54">
        <f t="shared" si="4"/>
        <v>0.09198516217</v>
      </c>
      <c r="M88" s="55">
        <v>1.462962963</v>
      </c>
      <c r="N88" s="56">
        <f t="shared" si="5"/>
        <v>0.08898157618</v>
      </c>
      <c r="O88" s="57">
        <v>0.578</v>
      </c>
      <c r="P88" s="24">
        <v>31560.0</v>
      </c>
      <c r="Q88" s="24">
        <v>11489.0</v>
      </c>
      <c r="R88" s="24">
        <v>3651.0</v>
      </c>
      <c r="S88" s="24">
        <v>1281.0</v>
      </c>
      <c r="T88" s="24">
        <v>1210.0</v>
      </c>
      <c r="U88" s="24">
        <v>20.7359</v>
      </c>
      <c r="V88" s="24">
        <v>7.5486</v>
      </c>
      <c r="W88" s="24">
        <v>2.3988</v>
      </c>
      <c r="X88" s="24">
        <v>0.8417</v>
      </c>
      <c r="Y88" s="24">
        <v>0.795</v>
      </c>
      <c r="Z88" s="24">
        <v>100.4</v>
      </c>
      <c r="AA88" s="24">
        <v>21.2</v>
      </c>
      <c r="AB88" s="24">
        <v>4.9</v>
      </c>
      <c r="AC88" s="24">
        <v>41.7</v>
      </c>
      <c r="AD88" s="24">
        <v>7.2</v>
      </c>
      <c r="AE88" s="24">
        <v>1.1833</v>
      </c>
      <c r="AF88" s="24">
        <v>1.76259</v>
      </c>
      <c r="AG88" s="24">
        <v>1.333333</v>
      </c>
      <c r="AH88" s="24">
        <v>1.142857</v>
      </c>
      <c r="AI88" s="24">
        <v>1.268868</v>
      </c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</row>
    <row r="89">
      <c r="A89" s="51" t="s">
        <v>43</v>
      </c>
      <c r="B89" s="51" t="s">
        <v>111</v>
      </c>
      <c r="C89" s="24">
        <v>2011.0</v>
      </c>
      <c r="D89" s="24">
        <v>0.04796</v>
      </c>
      <c r="E89" s="52">
        <v>23.0</v>
      </c>
      <c r="F89" s="53">
        <f t="shared" si="1"/>
        <v>1.315753824</v>
      </c>
      <c r="G89" s="52">
        <v>2.6</v>
      </c>
      <c r="H89" s="54">
        <f t="shared" si="2"/>
        <v>0.1560150214</v>
      </c>
      <c r="I89" s="52">
        <v>7.0</v>
      </c>
      <c r="J89" s="54">
        <f t="shared" si="3"/>
        <v>0.5960245306</v>
      </c>
      <c r="K89" s="55">
        <v>0.780821918</v>
      </c>
      <c r="L89" s="54">
        <f t="shared" si="4"/>
        <v>0.04924695471</v>
      </c>
      <c r="M89" s="55">
        <v>0.965753425</v>
      </c>
      <c r="N89" s="56">
        <f t="shared" si="5"/>
        <v>0.05293431826</v>
      </c>
      <c r="O89" s="57">
        <v>0.612</v>
      </c>
      <c r="P89" s="24">
        <v>31560.0</v>
      </c>
      <c r="Q89" s="24">
        <v>11489.0</v>
      </c>
      <c r="R89" s="24">
        <v>3651.0</v>
      </c>
      <c r="S89" s="24">
        <v>1281.0</v>
      </c>
      <c r="T89" s="24">
        <v>1210.0</v>
      </c>
      <c r="U89" s="24">
        <v>20.7359</v>
      </c>
      <c r="V89" s="24">
        <v>7.5486</v>
      </c>
      <c r="W89" s="24">
        <v>2.3988</v>
      </c>
      <c r="X89" s="24">
        <v>0.8417</v>
      </c>
      <c r="Y89" s="24">
        <v>0.795</v>
      </c>
      <c r="Z89" s="24">
        <v>99.6</v>
      </c>
      <c r="AA89" s="24">
        <v>21.5</v>
      </c>
      <c r="AB89" s="24">
        <v>4.9</v>
      </c>
      <c r="AC89" s="24">
        <v>41.4</v>
      </c>
      <c r="AD89" s="24">
        <v>7.3</v>
      </c>
      <c r="AE89" s="24">
        <v>1.1928</v>
      </c>
      <c r="AF89" s="24">
        <v>1.775362</v>
      </c>
      <c r="AG89" s="24">
        <v>1.315068</v>
      </c>
      <c r="AH89" s="24">
        <v>1.142857</v>
      </c>
      <c r="AI89" s="24">
        <v>1.251163</v>
      </c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</row>
    <row r="90">
      <c r="A90" s="51" t="s">
        <v>43</v>
      </c>
      <c r="B90" s="51" t="s">
        <v>111</v>
      </c>
      <c r="C90" s="24">
        <v>2012.0</v>
      </c>
      <c r="D90" s="24">
        <v>0.04074</v>
      </c>
      <c r="E90" s="52">
        <v>21.6</v>
      </c>
      <c r="F90" s="53">
        <f t="shared" si="1"/>
        <v>1.085548262</v>
      </c>
      <c r="G90" s="52">
        <v>2.2</v>
      </c>
      <c r="H90" s="54">
        <f t="shared" si="2"/>
        <v>0.1148091659</v>
      </c>
      <c r="I90" s="52">
        <v>6.7</v>
      </c>
      <c r="J90" s="54">
        <f t="shared" si="3"/>
        <v>0.4754125863</v>
      </c>
      <c r="K90" s="55">
        <v>1.016129032</v>
      </c>
      <c r="L90" s="54">
        <f t="shared" si="4"/>
        <v>0.05161195458</v>
      </c>
      <c r="M90" s="55">
        <v>0.725806452</v>
      </c>
      <c r="N90" s="56">
        <f t="shared" si="5"/>
        <v>0.03246830484</v>
      </c>
      <c r="O90" s="57">
        <v>0.564</v>
      </c>
      <c r="P90" s="24">
        <v>31560.0</v>
      </c>
      <c r="Q90" s="24">
        <v>11489.0</v>
      </c>
      <c r="R90" s="24">
        <v>3651.0</v>
      </c>
      <c r="S90" s="24">
        <v>1281.0</v>
      </c>
      <c r="T90" s="24">
        <v>1210.0</v>
      </c>
      <c r="U90" s="24">
        <v>20.7359</v>
      </c>
      <c r="V90" s="24">
        <v>7.5486</v>
      </c>
      <c r="W90" s="24">
        <v>2.3988</v>
      </c>
      <c r="X90" s="24">
        <v>0.8417</v>
      </c>
      <c r="Y90" s="24">
        <v>0.795</v>
      </c>
      <c r="Z90" s="24">
        <v>96.3</v>
      </c>
      <c r="AA90" s="24">
        <v>21.0</v>
      </c>
      <c r="AB90" s="24">
        <v>5.1</v>
      </c>
      <c r="AC90" s="24">
        <v>42.2</v>
      </c>
      <c r="AD90" s="24">
        <v>7.7</v>
      </c>
      <c r="AE90" s="24">
        <v>1.2336</v>
      </c>
      <c r="AF90" s="24">
        <v>1.741706</v>
      </c>
      <c r="AG90" s="24">
        <v>1.246753</v>
      </c>
      <c r="AH90" s="24">
        <v>1.098039</v>
      </c>
      <c r="AI90" s="24">
        <v>1.280952</v>
      </c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</row>
    <row r="91">
      <c r="A91" s="51" t="s">
        <v>43</v>
      </c>
      <c r="B91" s="51" t="s">
        <v>111</v>
      </c>
      <c r="C91" s="24">
        <v>2013.0</v>
      </c>
      <c r="D91" s="24">
        <v>0.03482</v>
      </c>
      <c r="E91" s="52">
        <v>17.3</v>
      </c>
      <c r="F91" s="53">
        <f t="shared" si="1"/>
        <v>0.729489446</v>
      </c>
      <c r="G91" s="52">
        <v>2.5</v>
      </c>
      <c r="H91" s="54">
        <f t="shared" si="2"/>
        <v>0.1059568248</v>
      </c>
      <c r="I91" s="52">
        <v>6.8</v>
      </c>
      <c r="J91" s="54">
        <f t="shared" si="3"/>
        <v>0.4133737222</v>
      </c>
      <c r="K91" s="55">
        <v>1.075471698</v>
      </c>
      <c r="L91" s="54">
        <f t="shared" si="4"/>
        <v>0.04608974462</v>
      </c>
      <c r="M91" s="55">
        <v>1.047169811</v>
      </c>
      <c r="N91" s="56">
        <f t="shared" si="5"/>
        <v>0.04003719523</v>
      </c>
      <c r="O91" s="57">
        <v>0.564</v>
      </c>
      <c r="P91" s="24">
        <v>31560.0</v>
      </c>
      <c r="Q91" s="24">
        <v>11489.0</v>
      </c>
      <c r="R91" s="24">
        <v>3651.0</v>
      </c>
      <c r="S91" s="24">
        <v>1281.0</v>
      </c>
      <c r="T91" s="24">
        <v>1210.0</v>
      </c>
      <c r="U91" s="24">
        <v>20.7359</v>
      </c>
      <c r="V91" s="24">
        <v>7.5486</v>
      </c>
      <c r="W91" s="24">
        <v>2.3988</v>
      </c>
      <c r="X91" s="24">
        <v>0.8417</v>
      </c>
      <c r="Y91" s="24">
        <v>0.795</v>
      </c>
      <c r="Z91" s="24">
        <v>98.1</v>
      </c>
      <c r="AA91" s="24">
        <v>22.1</v>
      </c>
      <c r="AB91" s="24">
        <v>5.1</v>
      </c>
      <c r="AC91" s="24">
        <v>42.1</v>
      </c>
      <c r="AD91" s="24">
        <v>7.8</v>
      </c>
      <c r="AE91" s="24">
        <v>1.211</v>
      </c>
      <c r="AF91" s="24">
        <v>1.745843</v>
      </c>
      <c r="AG91" s="24">
        <v>1.230769</v>
      </c>
      <c r="AH91" s="24">
        <v>1.098039</v>
      </c>
      <c r="AI91" s="24">
        <v>1.217195</v>
      </c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</row>
    <row r="92">
      <c r="A92" s="51" t="s">
        <v>43</v>
      </c>
      <c r="B92" s="51" t="s">
        <v>111</v>
      </c>
      <c r="C92" s="24">
        <v>2014.0</v>
      </c>
      <c r="D92" s="24">
        <v>0.05256</v>
      </c>
      <c r="E92" s="52">
        <v>21.7</v>
      </c>
      <c r="F92" s="53">
        <f t="shared" si="1"/>
        <v>1.341517262</v>
      </c>
      <c r="G92" s="52">
        <v>2.7</v>
      </c>
      <c r="H92" s="54">
        <f t="shared" si="2"/>
        <v>0.173519634</v>
      </c>
      <c r="I92" s="52">
        <v>6.2</v>
      </c>
      <c r="J92" s="54">
        <f t="shared" si="3"/>
        <v>0.5609270582</v>
      </c>
      <c r="K92" s="55">
        <v>1.36875</v>
      </c>
      <c r="L92" s="54">
        <f t="shared" si="4"/>
        <v>0.08969328095</v>
      </c>
      <c r="M92" s="55">
        <v>0.84375</v>
      </c>
      <c r="N92" s="56">
        <f t="shared" si="5"/>
        <v>0.05283955843</v>
      </c>
      <c r="O92" s="57">
        <v>0.603</v>
      </c>
      <c r="P92" s="24">
        <v>31560.0</v>
      </c>
      <c r="Q92" s="24">
        <v>11489.0</v>
      </c>
      <c r="R92" s="24">
        <v>3651.0</v>
      </c>
      <c r="S92" s="24">
        <v>1281.0</v>
      </c>
      <c r="T92" s="24">
        <v>1210.0</v>
      </c>
      <c r="U92" s="24">
        <v>20.7359</v>
      </c>
      <c r="V92" s="24">
        <v>7.5486</v>
      </c>
      <c r="W92" s="24">
        <v>2.3988</v>
      </c>
      <c r="X92" s="24">
        <v>0.8417</v>
      </c>
      <c r="Y92" s="24">
        <v>0.795</v>
      </c>
      <c r="Z92" s="24">
        <v>101.0</v>
      </c>
      <c r="AA92" s="24">
        <v>22.0</v>
      </c>
      <c r="AB92" s="24">
        <v>4.7</v>
      </c>
      <c r="AC92" s="24">
        <v>42.7</v>
      </c>
      <c r="AD92" s="24">
        <v>7.7</v>
      </c>
      <c r="AE92" s="24">
        <v>1.1762</v>
      </c>
      <c r="AF92" s="24">
        <v>1.721311</v>
      </c>
      <c r="AG92" s="24">
        <v>1.246753</v>
      </c>
      <c r="AH92" s="24">
        <v>1.191489</v>
      </c>
      <c r="AI92" s="24">
        <v>1.222727</v>
      </c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</row>
    <row r="93">
      <c r="A93" s="51" t="s">
        <v>43</v>
      </c>
      <c r="B93" s="51" t="s">
        <v>111</v>
      </c>
      <c r="C93" s="24">
        <v>2015.0</v>
      </c>
      <c r="D93" s="24">
        <v>0.05059</v>
      </c>
      <c r="E93" s="52">
        <v>17.3</v>
      </c>
      <c r="F93" s="53">
        <f t="shared" si="1"/>
        <v>1.039745916</v>
      </c>
      <c r="G93" s="52">
        <v>1.9</v>
      </c>
      <c r="H93" s="54">
        <f t="shared" si="2"/>
        <v>0.117529742</v>
      </c>
      <c r="I93" s="52">
        <v>5.9</v>
      </c>
      <c r="J93" s="54">
        <f t="shared" si="3"/>
        <v>0.5066595583</v>
      </c>
      <c r="K93" s="55">
        <v>0.75974026</v>
      </c>
      <c r="L93" s="54">
        <f t="shared" si="4"/>
        <v>0.0479192754</v>
      </c>
      <c r="M93" s="55">
        <v>0.642857143</v>
      </c>
      <c r="N93" s="56">
        <f t="shared" si="5"/>
        <v>0.03794251085</v>
      </c>
      <c r="O93" s="57">
        <v>0.56</v>
      </c>
      <c r="P93" s="24">
        <v>31560.0</v>
      </c>
      <c r="Q93" s="24">
        <v>11489.0</v>
      </c>
      <c r="R93" s="24">
        <v>3651.0</v>
      </c>
      <c r="S93" s="24">
        <v>1281.0</v>
      </c>
      <c r="T93" s="24">
        <v>1210.0</v>
      </c>
      <c r="U93" s="24">
        <v>20.7359</v>
      </c>
      <c r="V93" s="24">
        <v>7.5486</v>
      </c>
      <c r="W93" s="24">
        <v>2.3988</v>
      </c>
      <c r="X93" s="24">
        <v>0.8417</v>
      </c>
      <c r="Y93" s="24">
        <v>0.795</v>
      </c>
      <c r="Z93" s="24">
        <v>100.0</v>
      </c>
      <c r="AA93" s="24">
        <v>22.0</v>
      </c>
      <c r="AB93" s="24">
        <v>4.8</v>
      </c>
      <c r="AC93" s="24">
        <v>43.3</v>
      </c>
      <c r="AD93" s="24">
        <v>7.7</v>
      </c>
      <c r="AE93" s="24">
        <v>1.188</v>
      </c>
      <c r="AF93" s="24">
        <v>1.69746</v>
      </c>
      <c r="AG93" s="24">
        <v>1.246753</v>
      </c>
      <c r="AH93" s="24">
        <v>1.166667</v>
      </c>
      <c r="AI93" s="24">
        <v>1.222727</v>
      </c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</row>
    <row r="94">
      <c r="A94" s="51" t="s">
        <v>43</v>
      </c>
      <c r="B94" s="51" t="s">
        <v>111</v>
      </c>
      <c r="C94" s="24">
        <v>2016.0</v>
      </c>
      <c r="D94" s="24">
        <v>0.04928</v>
      </c>
      <c r="E94" s="52">
        <v>18.3</v>
      </c>
      <c r="F94" s="53">
        <f t="shared" si="1"/>
        <v>1.043230003</v>
      </c>
      <c r="G94" s="52">
        <v>1.8</v>
      </c>
      <c r="H94" s="54">
        <f t="shared" si="2"/>
        <v>0.1070016837</v>
      </c>
      <c r="I94" s="52">
        <v>6.5</v>
      </c>
      <c r="J94" s="54">
        <f t="shared" si="3"/>
        <v>0.5375232262</v>
      </c>
      <c r="K94" s="55">
        <v>1.04</v>
      </c>
      <c r="L94" s="54">
        <f t="shared" si="4"/>
        <v>0.06307838817</v>
      </c>
      <c r="M94" s="55">
        <v>1.04</v>
      </c>
      <c r="N94" s="56">
        <f t="shared" si="5"/>
        <v>0.057401344</v>
      </c>
      <c r="O94" s="57">
        <v>0.555</v>
      </c>
      <c r="P94" s="24">
        <v>31560.0</v>
      </c>
      <c r="Q94" s="24">
        <v>11489.0</v>
      </c>
      <c r="R94" s="24">
        <v>3651.0</v>
      </c>
      <c r="S94" s="24">
        <v>1281.0</v>
      </c>
      <c r="T94" s="24">
        <v>1210.0</v>
      </c>
      <c r="U94" s="24">
        <v>20.7359</v>
      </c>
      <c r="V94" s="24">
        <v>7.5486</v>
      </c>
      <c r="W94" s="24">
        <v>2.3988</v>
      </c>
      <c r="X94" s="24">
        <v>0.8417</v>
      </c>
      <c r="Y94" s="24">
        <v>0.795</v>
      </c>
      <c r="Z94" s="24">
        <v>102.7</v>
      </c>
      <c r="AA94" s="24">
        <v>22.3</v>
      </c>
      <c r="AB94" s="24">
        <v>5.0</v>
      </c>
      <c r="AC94" s="24">
        <v>43.8</v>
      </c>
      <c r="AD94" s="24">
        <v>7.8</v>
      </c>
      <c r="AE94" s="24">
        <v>1.1568</v>
      </c>
      <c r="AF94" s="24">
        <v>1.678082</v>
      </c>
      <c r="AG94" s="24">
        <v>1.230769</v>
      </c>
      <c r="AH94" s="24">
        <v>1.12</v>
      </c>
      <c r="AI94" s="24">
        <v>1.206278</v>
      </c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</row>
    <row r="95">
      <c r="A95" s="51" t="s">
        <v>43</v>
      </c>
      <c r="B95" s="51" t="s">
        <v>111</v>
      </c>
      <c r="C95" s="24">
        <v>2017.0</v>
      </c>
      <c r="D95" s="24">
        <v>0.03548</v>
      </c>
      <c r="E95" s="52">
        <v>14.2</v>
      </c>
      <c r="F95" s="53">
        <f t="shared" si="1"/>
        <v>0.566793</v>
      </c>
      <c r="G95" s="52">
        <v>1.5</v>
      </c>
      <c r="H95" s="54">
        <f t="shared" si="2"/>
        <v>0.0633459033</v>
      </c>
      <c r="I95" s="52">
        <v>6.5</v>
      </c>
      <c r="J95" s="54">
        <f t="shared" si="3"/>
        <v>0.3896682361</v>
      </c>
      <c r="K95" s="55">
        <v>0.833333333</v>
      </c>
      <c r="L95" s="54">
        <f t="shared" si="4"/>
        <v>0.03686233035</v>
      </c>
      <c r="M95" s="55">
        <v>1.055555556</v>
      </c>
      <c r="N95" s="56">
        <f t="shared" si="5"/>
        <v>0.04462258695</v>
      </c>
      <c r="O95" s="57">
        <v>0.529</v>
      </c>
      <c r="P95" s="24">
        <v>31560.0</v>
      </c>
      <c r="Q95" s="24">
        <v>11489.0</v>
      </c>
      <c r="R95" s="24">
        <v>3651.0</v>
      </c>
      <c r="S95" s="24">
        <v>1281.0</v>
      </c>
      <c r="T95" s="24">
        <v>1210.0</v>
      </c>
      <c r="U95" s="24">
        <v>20.7359</v>
      </c>
      <c r="V95" s="24">
        <v>7.5486</v>
      </c>
      <c r="W95" s="24">
        <v>2.3988</v>
      </c>
      <c r="X95" s="24">
        <v>0.8417</v>
      </c>
      <c r="Y95" s="24">
        <v>0.795</v>
      </c>
      <c r="Z95" s="24">
        <v>105.6</v>
      </c>
      <c r="AA95" s="24">
        <v>22.6</v>
      </c>
      <c r="AB95" s="24">
        <v>4.7</v>
      </c>
      <c r="AC95" s="24">
        <v>43.5</v>
      </c>
      <c r="AD95" s="24">
        <v>7.7</v>
      </c>
      <c r="AE95" s="24">
        <v>1.125</v>
      </c>
      <c r="AF95" s="24">
        <v>1.689655</v>
      </c>
      <c r="AG95" s="24">
        <v>1.246753</v>
      </c>
      <c r="AH95" s="24">
        <v>1.191489</v>
      </c>
      <c r="AI95" s="24">
        <v>1.190265</v>
      </c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</row>
    <row r="96">
      <c r="A96" s="51" t="s">
        <v>43</v>
      </c>
      <c r="B96" s="51" t="s">
        <v>111</v>
      </c>
      <c r="C96" s="24">
        <v>2018.0</v>
      </c>
      <c r="D96" s="24">
        <v>0.05059</v>
      </c>
      <c r="E96" s="52">
        <v>12.0</v>
      </c>
      <c r="F96" s="53">
        <f t="shared" si="1"/>
        <v>0.678472608</v>
      </c>
      <c r="G96" s="52">
        <v>1.6</v>
      </c>
      <c r="H96" s="54">
        <f t="shared" si="2"/>
        <v>0.09385319195</v>
      </c>
      <c r="I96" s="52">
        <v>5.7</v>
      </c>
      <c r="J96" s="54">
        <f t="shared" si="3"/>
        <v>0.4872339848</v>
      </c>
      <c r="K96" s="55">
        <v>0.837662338</v>
      </c>
      <c r="L96" s="54">
        <f t="shared" si="4"/>
        <v>0.05283407288</v>
      </c>
      <c r="M96" s="55">
        <v>0.876623377</v>
      </c>
      <c r="N96" s="56">
        <f t="shared" si="5"/>
        <v>0.05173978753</v>
      </c>
      <c r="O96" s="57">
        <v>0.575</v>
      </c>
      <c r="P96" s="24">
        <v>31560.0</v>
      </c>
      <c r="Q96" s="24">
        <v>11489.0</v>
      </c>
      <c r="R96" s="24">
        <v>3651.0</v>
      </c>
      <c r="S96" s="24">
        <v>1281.0</v>
      </c>
      <c r="T96" s="24">
        <v>1210.0</v>
      </c>
      <c r="U96" s="24">
        <v>20.7359</v>
      </c>
      <c r="V96" s="24">
        <v>7.5486</v>
      </c>
      <c r="W96" s="24">
        <v>2.3988</v>
      </c>
      <c r="X96" s="24">
        <v>0.8417</v>
      </c>
      <c r="Y96" s="24">
        <v>0.795</v>
      </c>
      <c r="Z96" s="24">
        <v>106.3</v>
      </c>
      <c r="AA96" s="24">
        <v>23.2</v>
      </c>
      <c r="AB96" s="24">
        <v>4.8</v>
      </c>
      <c r="AC96" s="24">
        <v>43.5</v>
      </c>
      <c r="AD96" s="24">
        <v>7.7</v>
      </c>
      <c r="AE96" s="24">
        <v>1.1176</v>
      </c>
      <c r="AF96" s="24">
        <v>1.689655</v>
      </c>
      <c r="AG96" s="24">
        <v>1.246753</v>
      </c>
      <c r="AH96" s="24">
        <v>1.166667</v>
      </c>
      <c r="AI96" s="24">
        <v>1.159483</v>
      </c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</row>
    <row r="97">
      <c r="A97" s="51" t="s">
        <v>43</v>
      </c>
      <c r="B97" s="51" t="s">
        <v>111</v>
      </c>
      <c r="C97" s="24">
        <v>2019.0</v>
      </c>
      <c r="D97" s="24">
        <v>0.03351</v>
      </c>
      <c r="E97" s="52">
        <v>7.3</v>
      </c>
      <c r="F97" s="53">
        <f t="shared" si="1"/>
        <v>0.2613307509</v>
      </c>
      <c r="G97" s="52">
        <v>0.7</v>
      </c>
      <c r="H97" s="54">
        <f t="shared" si="2"/>
        <v>0.02565013567</v>
      </c>
      <c r="I97" s="52">
        <v>3.1</v>
      </c>
      <c r="J97" s="54">
        <f t="shared" si="3"/>
        <v>0.1689215174</v>
      </c>
      <c r="K97" s="55">
        <v>0.264705882</v>
      </c>
      <c r="L97" s="54">
        <f t="shared" si="4"/>
        <v>0.01120458296</v>
      </c>
      <c r="M97" s="55">
        <v>0.529411765</v>
      </c>
      <c r="N97" s="56">
        <f t="shared" si="5"/>
        <v>0.01986945883</v>
      </c>
      <c r="O97" s="57">
        <v>0.469</v>
      </c>
      <c r="P97" s="24">
        <v>31560.0</v>
      </c>
      <c r="Q97" s="24">
        <v>11489.0</v>
      </c>
      <c r="R97" s="24">
        <v>3651.0</v>
      </c>
      <c r="S97" s="24">
        <v>1281.0</v>
      </c>
      <c r="T97" s="24">
        <v>1210.0</v>
      </c>
      <c r="U97" s="24">
        <v>20.7359</v>
      </c>
      <c r="V97" s="24">
        <v>7.5486</v>
      </c>
      <c r="W97" s="24">
        <v>2.3988</v>
      </c>
      <c r="X97" s="24">
        <v>0.8417</v>
      </c>
      <c r="Y97" s="24">
        <v>0.795</v>
      </c>
      <c r="Z97" s="24">
        <v>111.2</v>
      </c>
      <c r="AA97" s="24">
        <v>24.6</v>
      </c>
      <c r="AB97" s="24">
        <v>5.0</v>
      </c>
      <c r="AC97" s="24">
        <v>45.2</v>
      </c>
      <c r="AD97" s="24">
        <v>7.6</v>
      </c>
      <c r="AE97" s="24">
        <v>1.0683</v>
      </c>
      <c r="AF97" s="24">
        <v>1.626106</v>
      </c>
      <c r="AG97" s="24">
        <v>1.263158</v>
      </c>
      <c r="AH97" s="24">
        <v>1.12</v>
      </c>
      <c r="AI97" s="24">
        <v>1.093496</v>
      </c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</row>
    <row r="98">
      <c r="A98" s="51" t="s">
        <v>47</v>
      </c>
      <c r="B98" s="51" t="s">
        <v>111</v>
      </c>
      <c r="C98" s="24">
        <v>1983.0</v>
      </c>
      <c r="D98" s="24">
        <v>0.07143</v>
      </c>
      <c r="E98" s="52">
        <v>17.5</v>
      </c>
      <c r="F98" s="53">
        <f t="shared" si="1"/>
        <v>1.368652373</v>
      </c>
      <c r="G98" s="52">
        <v>1.6</v>
      </c>
      <c r="H98" s="54">
        <f t="shared" si="2"/>
        <v>0.1187006597</v>
      </c>
      <c r="I98" s="52">
        <v>5.8</v>
      </c>
      <c r="J98" s="54">
        <f t="shared" si="3"/>
        <v>0.6842831854</v>
      </c>
      <c r="K98" s="55">
        <v>1.536585366</v>
      </c>
      <c r="L98" s="54">
        <f t="shared" si="4"/>
        <v>0.1183910019</v>
      </c>
      <c r="M98" s="55">
        <v>1.152439024</v>
      </c>
      <c r="N98" s="56">
        <f t="shared" si="5"/>
        <v>0.08231871948</v>
      </c>
      <c r="O98" s="57">
        <v>0.524</v>
      </c>
      <c r="P98" s="24">
        <v>28591.0</v>
      </c>
      <c r="Q98" s="24">
        <v>7650.0</v>
      </c>
      <c r="R98" s="24">
        <v>2846.0</v>
      </c>
      <c r="S98" s="24">
        <v>672.0</v>
      </c>
      <c r="T98" s="24">
        <v>1470.0</v>
      </c>
      <c r="U98" s="24">
        <v>24.9051</v>
      </c>
      <c r="V98" s="24">
        <v>6.6638</v>
      </c>
      <c r="W98" s="24">
        <v>2.4791</v>
      </c>
      <c r="X98" s="24">
        <v>0.5854</v>
      </c>
      <c r="Y98" s="24">
        <v>1.2805</v>
      </c>
      <c r="Z98" s="24">
        <v>108.5</v>
      </c>
      <c r="AA98" s="24">
        <v>25.9</v>
      </c>
      <c r="AB98" s="24">
        <v>5.6</v>
      </c>
      <c r="AC98" s="24">
        <v>44.5</v>
      </c>
      <c r="AD98" s="24">
        <v>8.9</v>
      </c>
      <c r="AE98" s="24">
        <v>1.0949</v>
      </c>
      <c r="AF98" s="24">
        <v>1.651685</v>
      </c>
      <c r="AG98" s="24">
        <v>1.078652</v>
      </c>
      <c r="AH98" s="24">
        <v>1.0</v>
      </c>
      <c r="AI98" s="24">
        <v>1.03861</v>
      </c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</row>
    <row r="99">
      <c r="A99" s="51" t="s">
        <v>47</v>
      </c>
      <c r="B99" s="51" t="s">
        <v>111</v>
      </c>
      <c r="C99" s="24">
        <v>1984.0</v>
      </c>
      <c r="D99" s="24">
        <v>0.07056</v>
      </c>
      <c r="E99" s="52">
        <v>21.6</v>
      </c>
      <c r="F99" s="53">
        <f t="shared" si="1"/>
        <v>1.644499584</v>
      </c>
      <c r="G99" s="52">
        <v>1.6</v>
      </c>
      <c r="H99" s="54">
        <f t="shared" si="2"/>
        <v>0.1159123553</v>
      </c>
      <c r="I99" s="52">
        <v>7.2</v>
      </c>
      <c r="J99" s="54">
        <f t="shared" si="3"/>
        <v>0.8683801137</v>
      </c>
      <c r="K99" s="55">
        <v>2.166666667</v>
      </c>
      <c r="L99" s="54">
        <f t="shared" si="4"/>
        <v>0.1726645066</v>
      </c>
      <c r="M99" s="55">
        <v>1.611111111</v>
      </c>
      <c r="N99" s="56">
        <f t="shared" si="5"/>
        <v>0.1201147427</v>
      </c>
      <c r="O99" s="57">
        <v>0.531</v>
      </c>
      <c r="P99" s="24">
        <v>28591.0</v>
      </c>
      <c r="Q99" s="24">
        <v>7650.0</v>
      </c>
      <c r="R99" s="24">
        <v>2846.0</v>
      </c>
      <c r="S99" s="24">
        <v>672.0</v>
      </c>
      <c r="T99" s="24">
        <v>1470.0</v>
      </c>
      <c r="U99" s="24">
        <v>24.9051</v>
      </c>
      <c r="V99" s="24">
        <v>6.6638</v>
      </c>
      <c r="W99" s="24">
        <v>2.4791</v>
      </c>
      <c r="X99" s="24">
        <v>0.5854</v>
      </c>
      <c r="Y99" s="24">
        <v>1.2805</v>
      </c>
      <c r="Z99" s="24">
        <v>110.1</v>
      </c>
      <c r="AA99" s="24">
        <v>26.2</v>
      </c>
      <c r="AB99" s="24">
        <v>5.3</v>
      </c>
      <c r="AC99" s="24">
        <v>43.0</v>
      </c>
      <c r="AD99" s="24">
        <v>8.5</v>
      </c>
      <c r="AE99" s="24">
        <v>1.079</v>
      </c>
      <c r="AF99" s="24">
        <v>1.709302</v>
      </c>
      <c r="AG99" s="24">
        <v>1.129412</v>
      </c>
      <c r="AH99" s="24">
        <v>1.056604</v>
      </c>
      <c r="AI99" s="24">
        <v>1.026718</v>
      </c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</row>
    <row r="100">
      <c r="A100" s="51" t="s">
        <v>47</v>
      </c>
      <c r="B100" s="51" t="s">
        <v>111</v>
      </c>
      <c r="C100" s="24">
        <v>1985.0</v>
      </c>
      <c r="D100" s="24">
        <v>0.07056</v>
      </c>
      <c r="E100" s="52">
        <v>27.4</v>
      </c>
      <c r="F100" s="53">
        <f t="shared" si="1"/>
        <v>2.072931437</v>
      </c>
      <c r="G100" s="52">
        <v>2.5</v>
      </c>
      <c r="H100" s="54">
        <f t="shared" si="2"/>
        <v>0.1804243896</v>
      </c>
      <c r="I100" s="52">
        <v>6.9</v>
      </c>
      <c r="J100" s="54">
        <f t="shared" si="3"/>
        <v>0.8226321919</v>
      </c>
      <c r="K100" s="55">
        <v>2.5</v>
      </c>
      <c r="L100" s="54">
        <f t="shared" si="4"/>
        <v>0.1992282768</v>
      </c>
      <c r="M100" s="55">
        <v>1.0</v>
      </c>
      <c r="N100" s="56">
        <f t="shared" si="5"/>
        <v>0.07455397824</v>
      </c>
      <c r="O100" s="57">
        <v>0.514</v>
      </c>
      <c r="P100" s="24">
        <v>28591.0</v>
      </c>
      <c r="Q100" s="24">
        <v>7650.0</v>
      </c>
      <c r="R100" s="24">
        <v>2846.0</v>
      </c>
      <c r="S100" s="24">
        <v>672.0</v>
      </c>
      <c r="T100" s="24">
        <v>1470.0</v>
      </c>
      <c r="U100" s="24">
        <v>24.9051</v>
      </c>
      <c r="V100" s="24">
        <v>6.6638</v>
      </c>
      <c r="W100" s="24">
        <v>2.4791</v>
      </c>
      <c r="X100" s="24">
        <v>0.5854</v>
      </c>
      <c r="Y100" s="24">
        <v>1.2805</v>
      </c>
      <c r="Z100" s="24">
        <v>110.8</v>
      </c>
      <c r="AA100" s="24">
        <v>26.3</v>
      </c>
      <c r="AB100" s="24">
        <v>5.3</v>
      </c>
      <c r="AC100" s="24">
        <v>43.5</v>
      </c>
      <c r="AD100" s="24">
        <v>8.5</v>
      </c>
      <c r="AE100" s="24">
        <v>1.0722</v>
      </c>
      <c r="AF100" s="24">
        <v>1.689655</v>
      </c>
      <c r="AG100" s="24">
        <v>1.129412</v>
      </c>
      <c r="AH100" s="24">
        <v>1.056604</v>
      </c>
      <c r="AI100" s="24">
        <v>1.022814</v>
      </c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</row>
    <row r="101">
      <c r="A101" s="51" t="s">
        <v>47</v>
      </c>
      <c r="B101" s="51" t="s">
        <v>111</v>
      </c>
      <c r="C101" s="24">
        <v>1986.0</v>
      </c>
      <c r="D101" s="24">
        <v>0.06794</v>
      </c>
      <c r="E101" s="52">
        <v>30.3</v>
      </c>
      <c r="F101" s="53">
        <f t="shared" si="1"/>
        <v>2.219151396</v>
      </c>
      <c r="G101" s="52">
        <v>2.6</v>
      </c>
      <c r="H101" s="54">
        <f t="shared" si="2"/>
        <v>0.1827585321</v>
      </c>
      <c r="I101" s="52">
        <v>7.9</v>
      </c>
      <c r="J101" s="54">
        <f t="shared" si="3"/>
        <v>0.9048019563</v>
      </c>
      <c r="K101" s="55">
        <v>2.653846154</v>
      </c>
      <c r="L101" s="54">
        <f t="shared" si="4"/>
        <v>0.1966934102</v>
      </c>
      <c r="M101" s="55">
        <v>0.942307692</v>
      </c>
      <c r="N101" s="56">
        <f t="shared" si="5"/>
        <v>0.06764419444</v>
      </c>
      <c r="O101" s="57">
        <v>0.536</v>
      </c>
      <c r="P101" s="24">
        <v>28591.0</v>
      </c>
      <c r="Q101" s="24">
        <v>7650.0</v>
      </c>
      <c r="R101" s="24">
        <v>2846.0</v>
      </c>
      <c r="S101" s="24">
        <v>672.0</v>
      </c>
      <c r="T101" s="24">
        <v>1470.0</v>
      </c>
      <c r="U101" s="24">
        <v>24.9051</v>
      </c>
      <c r="V101" s="24">
        <v>6.6638</v>
      </c>
      <c r="W101" s="24">
        <v>2.4791</v>
      </c>
      <c r="X101" s="24">
        <v>0.5854</v>
      </c>
      <c r="Y101" s="24">
        <v>1.2805</v>
      </c>
      <c r="Z101" s="24">
        <v>110.2</v>
      </c>
      <c r="AA101" s="24">
        <v>26.0</v>
      </c>
      <c r="AB101" s="24">
        <v>5.3</v>
      </c>
      <c r="AC101" s="24">
        <v>43.6</v>
      </c>
      <c r="AD101" s="24">
        <v>8.8</v>
      </c>
      <c r="AE101" s="24">
        <v>1.078</v>
      </c>
      <c r="AF101" s="24">
        <v>1.68578</v>
      </c>
      <c r="AG101" s="24">
        <v>1.090909</v>
      </c>
      <c r="AH101" s="24">
        <v>1.056604</v>
      </c>
      <c r="AI101" s="24">
        <v>1.034615</v>
      </c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</row>
    <row r="102">
      <c r="A102" s="51" t="s">
        <v>47</v>
      </c>
      <c r="B102" s="51" t="s">
        <v>111</v>
      </c>
      <c r="C102" s="24">
        <v>1987.0</v>
      </c>
      <c r="D102" s="24">
        <v>0.06882</v>
      </c>
      <c r="E102" s="52">
        <v>29.0</v>
      </c>
      <c r="F102" s="53">
        <f t="shared" si="1"/>
        <v>2.15743818</v>
      </c>
      <c r="G102" s="52">
        <v>3.3</v>
      </c>
      <c r="H102" s="54">
        <f t="shared" si="2"/>
        <v>0.2349672742</v>
      </c>
      <c r="I102" s="52">
        <v>6.3</v>
      </c>
      <c r="J102" s="54">
        <f t="shared" si="3"/>
        <v>0.7242524925</v>
      </c>
      <c r="K102" s="55">
        <v>2.221518987</v>
      </c>
      <c r="L102" s="54">
        <f t="shared" si="4"/>
        <v>0.1706622442</v>
      </c>
      <c r="M102" s="55">
        <v>0.96835443</v>
      </c>
      <c r="N102" s="56">
        <f t="shared" si="5"/>
        <v>0.06785383948</v>
      </c>
      <c r="O102" s="57">
        <v>0.543</v>
      </c>
      <c r="P102" s="24">
        <v>28591.0</v>
      </c>
      <c r="Q102" s="24">
        <v>7650.0</v>
      </c>
      <c r="R102" s="24">
        <v>2846.0</v>
      </c>
      <c r="S102" s="24">
        <v>672.0</v>
      </c>
      <c r="T102" s="24">
        <v>1470.0</v>
      </c>
      <c r="U102" s="24">
        <v>24.9051</v>
      </c>
      <c r="V102" s="24">
        <v>6.6638</v>
      </c>
      <c r="W102" s="24">
        <v>2.4791</v>
      </c>
      <c r="X102" s="24">
        <v>0.5854</v>
      </c>
      <c r="Y102" s="24">
        <v>1.2805</v>
      </c>
      <c r="Z102" s="24">
        <v>109.9</v>
      </c>
      <c r="AA102" s="24">
        <v>26.0</v>
      </c>
      <c r="AB102" s="24">
        <v>5.5</v>
      </c>
      <c r="AC102" s="24">
        <v>44.0</v>
      </c>
      <c r="AD102" s="24">
        <v>8.6</v>
      </c>
      <c r="AE102" s="24">
        <v>1.081</v>
      </c>
      <c r="AF102" s="24">
        <v>1.670455</v>
      </c>
      <c r="AG102" s="24">
        <v>1.116279</v>
      </c>
      <c r="AH102" s="24">
        <v>1.018182</v>
      </c>
      <c r="AI102" s="24">
        <v>1.034615</v>
      </c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</row>
    <row r="103">
      <c r="A103" s="51" t="s">
        <v>47</v>
      </c>
      <c r="B103" s="51" t="s">
        <v>111</v>
      </c>
      <c r="C103" s="24">
        <v>1988.0</v>
      </c>
      <c r="D103" s="24">
        <v>0.06794</v>
      </c>
      <c r="E103" s="52">
        <v>30.7</v>
      </c>
      <c r="F103" s="53">
        <f t="shared" si="1"/>
        <v>2.290162284</v>
      </c>
      <c r="G103" s="52">
        <v>2.9</v>
      </c>
      <c r="H103" s="54">
        <f t="shared" si="2"/>
        <v>0.2054264005</v>
      </c>
      <c r="I103" s="52">
        <v>6.4</v>
      </c>
      <c r="J103" s="54">
        <f t="shared" si="3"/>
        <v>0.7363817672</v>
      </c>
      <c r="K103" s="55">
        <v>1.980769231</v>
      </c>
      <c r="L103" s="54">
        <f t="shared" si="4"/>
        <v>0.1519888824</v>
      </c>
      <c r="M103" s="55">
        <v>0.903846154</v>
      </c>
      <c r="N103" s="56">
        <f t="shared" si="5"/>
        <v>0.06368165016</v>
      </c>
      <c r="O103" s="57">
        <v>0.534</v>
      </c>
      <c r="P103" s="24">
        <v>28591.0</v>
      </c>
      <c r="Q103" s="24">
        <v>7650.0</v>
      </c>
      <c r="R103" s="24">
        <v>2846.0</v>
      </c>
      <c r="S103" s="24">
        <v>672.0</v>
      </c>
      <c r="T103" s="24">
        <v>1470.0</v>
      </c>
      <c r="U103" s="24">
        <v>24.9051</v>
      </c>
      <c r="V103" s="24">
        <v>6.6638</v>
      </c>
      <c r="W103" s="24">
        <v>2.4791</v>
      </c>
      <c r="X103" s="24">
        <v>0.5854</v>
      </c>
      <c r="Y103" s="24">
        <v>1.2805</v>
      </c>
      <c r="Z103" s="24">
        <v>108.2</v>
      </c>
      <c r="AA103" s="24">
        <v>25.8</v>
      </c>
      <c r="AB103" s="24">
        <v>5.4</v>
      </c>
      <c r="AC103" s="24">
        <v>43.4</v>
      </c>
      <c r="AD103" s="24">
        <v>8.5</v>
      </c>
      <c r="AE103" s="24">
        <v>1.098</v>
      </c>
      <c r="AF103" s="24">
        <v>1.693548</v>
      </c>
      <c r="AG103" s="24">
        <v>1.129412</v>
      </c>
      <c r="AH103" s="24">
        <v>1.037037</v>
      </c>
      <c r="AI103" s="24">
        <v>1.042636</v>
      </c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</row>
    <row r="104">
      <c r="A104" s="51" t="s">
        <v>47</v>
      </c>
      <c r="B104" s="51" t="s">
        <v>111</v>
      </c>
      <c r="C104" s="24">
        <v>1989.0</v>
      </c>
      <c r="D104" s="24">
        <v>0.06969</v>
      </c>
      <c r="E104" s="52">
        <v>26.2</v>
      </c>
      <c r="F104" s="53">
        <f t="shared" si="1"/>
        <v>1.986372676</v>
      </c>
      <c r="G104" s="52">
        <v>2.6</v>
      </c>
      <c r="H104" s="54">
        <f t="shared" si="2"/>
        <v>0.1903952125</v>
      </c>
      <c r="I104" s="52">
        <v>6.9</v>
      </c>
      <c r="J104" s="54">
        <f t="shared" si="3"/>
        <v>0.8050863379</v>
      </c>
      <c r="K104" s="55">
        <v>2.19375</v>
      </c>
      <c r="L104" s="54">
        <f t="shared" si="4"/>
        <v>0.161282563</v>
      </c>
      <c r="M104" s="55">
        <v>0.975</v>
      </c>
      <c r="N104" s="56">
        <f t="shared" si="5"/>
        <v>0.07179386444</v>
      </c>
      <c r="O104" s="57">
        <v>0.528</v>
      </c>
      <c r="P104" s="24">
        <v>28591.0</v>
      </c>
      <c r="Q104" s="24">
        <v>7650.0</v>
      </c>
      <c r="R104" s="24">
        <v>2846.0</v>
      </c>
      <c r="S104" s="24">
        <v>672.0</v>
      </c>
      <c r="T104" s="24">
        <v>1470.0</v>
      </c>
      <c r="U104" s="24">
        <v>24.9051</v>
      </c>
      <c r="V104" s="24">
        <v>6.6638</v>
      </c>
      <c r="W104" s="24">
        <v>2.4791</v>
      </c>
      <c r="X104" s="24">
        <v>0.5854</v>
      </c>
      <c r="Y104" s="24">
        <v>1.2805</v>
      </c>
      <c r="Z104" s="24">
        <v>109.2</v>
      </c>
      <c r="AA104" s="24">
        <v>25.6</v>
      </c>
      <c r="AB104" s="24">
        <v>5.3</v>
      </c>
      <c r="AC104" s="24">
        <v>43.9</v>
      </c>
      <c r="AD104" s="24">
        <v>9.1</v>
      </c>
      <c r="AE104" s="24">
        <v>1.0879</v>
      </c>
      <c r="AF104" s="24">
        <v>1.67426</v>
      </c>
      <c r="AG104" s="24">
        <v>1.054945</v>
      </c>
      <c r="AH104" s="24">
        <v>1.056604</v>
      </c>
      <c r="AI104" s="24">
        <v>1.050781</v>
      </c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</row>
    <row r="105">
      <c r="A105" s="51" t="s">
        <v>47</v>
      </c>
      <c r="B105" s="51" t="s">
        <v>111</v>
      </c>
      <c r="C105" s="24">
        <v>1990.0</v>
      </c>
      <c r="D105" s="24">
        <v>0.06969</v>
      </c>
      <c r="E105" s="52">
        <v>26.7</v>
      </c>
      <c r="F105" s="53">
        <f t="shared" si="1"/>
        <v>2.065960747</v>
      </c>
      <c r="G105" s="52">
        <v>2.5</v>
      </c>
      <c r="H105" s="54">
        <f t="shared" si="2"/>
        <v>0.1882189262</v>
      </c>
      <c r="I105" s="52">
        <v>6.5</v>
      </c>
      <c r="J105" s="54">
        <f t="shared" si="3"/>
        <v>0.772491628</v>
      </c>
      <c r="K105" s="55">
        <v>2.3625</v>
      </c>
      <c r="L105" s="54">
        <f t="shared" si="4"/>
        <v>0.1859493564</v>
      </c>
      <c r="M105" s="55">
        <v>0.88125</v>
      </c>
      <c r="N105" s="56">
        <f t="shared" si="5"/>
        <v>0.06743531028</v>
      </c>
      <c r="O105" s="57">
        <v>0.556</v>
      </c>
      <c r="P105" s="24">
        <v>28591.0</v>
      </c>
      <c r="Q105" s="24">
        <v>7650.0</v>
      </c>
      <c r="R105" s="24">
        <v>2846.0</v>
      </c>
      <c r="S105" s="24">
        <v>672.0</v>
      </c>
      <c r="T105" s="24">
        <v>1470.0</v>
      </c>
      <c r="U105" s="24">
        <v>24.9051</v>
      </c>
      <c r="V105" s="24">
        <v>6.6638</v>
      </c>
      <c r="W105" s="24">
        <v>2.4791</v>
      </c>
      <c r="X105" s="24">
        <v>0.5854</v>
      </c>
      <c r="Y105" s="24">
        <v>1.2805</v>
      </c>
      <c r="Z105" s="24">
        <v>107.0</v>
      </c>
      <c r="AA105" s="24">
        <v>24.9</v>
      </c>
      <c r="AB105" s="24">
        <v>5.1</v>
      </c>
      <c r="AC105" s="24">
        <v>43.1</v>
      </c>
      <c r="AD105" s="24">
        <v>8.5</v>
      </c>
      <c r="AE105" s="24">
        <v>1.1103</v>
      </c>
      <c r="AF105" s="24">
        <v>1.705336</v>
      </c>
      <c r="AG105" s="24">
        <v>1.129412</v>
      </c>
      <c r="AH105" s="24">
        <v>1.098039</v>
      </c>
      <c r="AI105" s="24">
        <v>1.080321</v>
      </c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</row>
    <row r="106">
      <c r="A106" s="51" t="s">
        <v>47</v>
      </c>
      <c r="B106" s="51" t="s">
        <v>111</v>
      </c>
      <c r="C106" s="24">
        <v>1991.0</v>
      </c>
      <c r="D106" s="24">
        <v>0.07056</v>
      </c>
      <c r="E106" s="52">
        <v>25.9</v>
      </c>
      <c r="F106" s="53">
        <f t="shared" si="1"/>
        <v>2.04241847</v>
      </c>
      <c r="G106" s="52">
        <v>3.3</v>
      </c>
      <c r="H106" s="54">
        <f t="shared" si="2"/>
        <v>0.2535875385</v>
      </c>
      <c r="I106" s="52">
        <v>9.0</v>
      </c>
      <c r="J106" s="54">
        <f t="shared" si="3"/>
        <v>1.077954998</v>
      </c>
      <c r="K106" s="55">
        <v>2.277777778</v>
      </c>
      <c r="L106" s="54">
        <f t="shared" si="4"/>
        <v>0.1794083609</v>
      </c>
      <c r="M106" s="55">
        <v>1.203703704</v>
      </c>
      <c r="N106" s="56">
        <f t="shared" si="5"/>
        <v>0.08974089976</v>
      </c>
      <c r="O106" s="57">
        <v>0.555</v>
      </c>
      <c r="P106" s="24">
        <v>28591.0</v>
      </c>
      <c r="Q106" s="24">
        <v>7650.0</v>
      </c>
      <c r="R106" s="24">
        <v>2846.0</v>
      </c>
      <c r="S106" s="24">
        <v>672.0</v>
      </c>
      <c r="T106" s="24">
        <v>1470.0</v>
      </c>
      <c r="U106" s="24">
        <v>24.9051</v>
      </c>
      <c r="V106" s="24">
        <v>6.6638</v>
      </c>
      <c r="W106" s="24">
        <v>2.4791</v>
      </c>
      <c r="X106" s="24">
        <v>0.5854</v>
      </c>
      <c r="Y106" s="24">
        <v>1.2805</v>
      </c>
      <c r="Z106" s="24">
        <v>106.3</v>
      </c>
      <c r="AA106" s="24">
        <v>24.7</v>
      </c>
      <c r="AB106" s="24">
        <v>5.3</v>
      </c>
      <c r="AC106" s="24">
        <v>43.3</v>
      </c>
      <c r="AD106" s="24">
        <v>8.6</v>
      </c>
      <c r="AE106" s="24">
        <v>1.1176</v>
      </c>
      <c r="AF106" s="24">
        <v>1.69746</v>
      </c>
      <c r="AG106" s="24">
        <v>1.116279</v>
      </c>
      <c r="AH106" s="24">
        <v>1.056604</v>
      </c>
      <c r="AI106" s="24">
        <v>1.089069</v>
      </c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</row>
    <row r="107">
      <c r="A107" s="51" t="s">
        <v>47</v>
      </c>
      <c r="B107" s="51" t="s">
        <v>111</v>
      </c>
      <c r="C107" s="24">
        <v>1992.0</v>
      </c>
      <c r="D107" s="24">
        <v>0.03659</v>
      </c>
      <c r="E107" s="52">
        <v>28.1</v>
      </c>
      <c r="F107" s="53">
        <f t="shared" si="1"/>
        <v>1.159991548</v>
      </c>
      <c r="G107" s="52">
        <v>3.8</v>
      </c>
      <c r="H107" s="54">
        <f t="shared" si="2"/>
        <v>0.1526624153</v>
      </c>
      <c r="I107" s="52">
        <v>7.0</v>
      </c>
      <c r="J107" s="54">
        <f t="shared" si="3"/>
        <v>0.4307906819</v>
      </c>
      <c r="K107" s="55">
        <v>1.857142857</v>
      </c>
      <c r="L107" s="54">
        <f t="shared" si="4"/>
        <v>0.07585434741</v>
      </c>
      <c r="M107" s="55">
        <v>0.857142857</v>
      </c>
      <c r="N107" s="56">
        <f t="shared" si="5"/>
        <v>0.03193309661</v>
      </c>
      <c r="O107" s="57">
        <v>0.552</v>
      </c>
      <c r="P107" s="24">
        <v>28591.0</v>
      </c>
      <c r="Q107" s="24">
        <v>7650.0</v>
      </c>
      <c r="R107" s="24">
        <v>2846.0</v>
      </c>
      <c r="S107" s="24">
        <v>672.0</v>
      </c>
      <c r="T107" s="24">
        <v>1470.0</v>
      </c>
      <c r="U107" s="24">
        <v>24.9051</v>
      </c>
      <c r="V107" s="24">
        <v>6.6638</v>
      </c>
      <c r="W107" s="24">
        <v>2.4791</v>
      </c>
      <c r="X107" s="24">
        <v>0.5854</v>
      </c>
      <c r="Y107" s="24">
        <v>1.2805</v>
      </c>
      <c r="Z107" s="24">
        <v>105.3</v>
      </c>
      <c r="AA107" s="24">
        <v>24.5</v>
      </c>
      <c r="AB107" s="24">
        <v>5.5</v>
      </c>
      <c r="AC107" s="24">
        <v>43.7</v>
      </c>
      <c r="AD107" s="24">
        <v>8.6</v>
      </c>
      <c r="AE107" s="24">
        <v>1.1282</v>
      </c>
      <c r="AF107" s="24">
        <v>1.681922</v>
      </c>
      <c r="AG107" s="24">
        <v>1.116279</v>
      </c>
      <c r="AH107" s="24">
        <v>1.018182</v>
      </c>
      <c r="AI107" s="24">
        <v>1.097959</v>
      </c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</row>
    <row r="108">
      <c r="A108" s="51" t="s">
        <v>47</v>
      </c>
      <c r="B108" s="51" t="s">
        <v>111</v>
      </c>
      <c r="C108" s="24">
        <v>1993.0</v>
      </c>
      <c r="D108" s="24">
        <v>0.06185</v>
      </c>
      <c r="E108" s="52">
        <v>29.9</v>
      </c>
      <c r="F108" s="53">
        <f t="shared" si="1"/>
        <v>2.086397183</v>
      </c>
      <c r="G108" s="52">
        <v>3.2</v>
      </c>
      <c r="H108" s="54">
        <f t="shared" si="2"/>
        <v>0.2155485365</v>
      </c>
      <c r="I108" s="52">
        <v>6.8</v>
      </c>
      <c r="J108" s="54">
        <f t="shared" si="3"/>
        <v>0.7172302149</v>
      </c>
      <c r="K108" s="55">
        <v>1.478873239</v>
      </c>
      <c r="L108" s="54">
        <f t="shared" si="4"/>
        <v>0.1021041534</v>
      </c>
      <c r="M108" s="55">
        <v>0.570422535</v>
      </c>
      <c r="N108" s="56">
        <f t="shared" si="5"/>
        <v>0.03799452598</v>
      </c>
      <c r="O108" s="57">
        <v>0.57</v>
      </c>
      <c r="P108" s="24">
        <v>28591.0</v>
      </c>
      <c r="Q108" s="24">
        <v>7650.0</v>
      </c>
      <c r="R108" s="24">
        <v>2846.0</v>
      </c>
      <c r="S108" s="24">
        <v>672.0</v>
      </c>
      <c r="T108" s="24">
        <v>1470.0</v>
      </c>
      <c r="U108" s="24">
        <v>24.9051</v>
      </c>
      <c r="V108" s="24">
        <v>6.6638</v>
      </c>
      <c r="W108" s="24">
        <v>2.4791</v>
      </c>
      <c r="X108" s="24">
        <v>0.5854</v>
      </c>
      <c r="Y108" s="24">
        <v>1.2805</v>
      </c>
      <c r="Z108" s="24">
        <v>105.3</v>
      </c>
      <c r="AA108" s="24">
        <v>24.7</v>
      </c>
      <c r="AB108" s="24">
        <v>5.2</v>
      </c>
      <c r="AC108" s="24">
        <v>43.1</v>
      </c>
      <c r="AD108" s="24">
        <v>8.6</v>
      </c>
      <c r="AE108" s="24">
        <v>1.1282</v>
      </c>
      <c r="AF108" s="24">
        <v>1.705336</v>
      </c>
      <c r="AG108" s="24">
        <v>1.116279</v>
      </c>
      <c r="AH108" s="24">
        <v>1.076923</v>
      </c>
      <c r="AI108" s="24">
        <v>1.089069</v>
      </c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</row>
    <row r="109">
      <c r="A109" s="51" t="s">
        <v>47</v>
      </c>
      <c r="B109" s="51" t="s">
        <v>111</v>
      </c>
      <c r="C109" s="24">
        <v>1994.0</v>
      </c>
      <c r="D109" s="24">
        <v>0.12892</v>
      </c>
      <c r="E109" s="52">
        <v>26.5</v>
      </c>
      <c r="F109" s="53">
        <f t="shared" si="1"/>
        <v>3.998531152</v>
      </c>
      <c r="G109" s="52">
        <v>2.267</v>
      </c>
      <c r="H109" s="54">
        <f t="shared" si="2"/>
        <v>0.3222064754</v>
      </c>
      <c r="I109" s="52">
        <v>6.567</v>
      </c>
      <c r="J109" s="54">
        <f t="shared" si="3"/>
        <v>1.447125225</v>
      </c>
      <c r="K109" s="55">
        <v>1.243243243</v>
      </c>
      <c r="L109" s="54">
        <f t="shared" si="4"/>
        <v>0.1728851764</v>
      </c>
      <c r="M109" s="55">
        <v>0.405405405</v>
      </c>
      <c r="N109" s="56">
        <f t="shared" si="5"/>
        <v>0.05628523501</v>
      </c>
      <c r="O109" s="57">
        <v>0.53</v>
      </c>
      <c r="P109" s="24">
        <v>28591.0</v>
      </c>
      <c r="Q109" s="24">
        <v>7650.0</v>
      </c>
      <c r="R109" s="24">
        <v>2846.0</v>
      </c>
      <c r="S109" s="24">
        <v>672.0</v>
      </c>
      <c r="T109" s="24">
        <v>1470.0</v>
      </c>
      <c r="U109" s="24">
        <v>24.9051</v>
      </c>
      <c r="V109" s="24">
        <v>6.6638</v>
      </c>
      <c r="W109" s="24">
        <v>2.4791</v>
      </c>
      <c r="X109" s="24">
        <v>0.5854</v>
      </c>
      <c r="Y109" s="24">
        <v>1.2805</v>
      </c>
      <c r="Z109" s="24">
        <v>101.5</v>
      </c>
      <c r="AA109" s="24">
        <v>24.4</v>
      </c>
      <c r="AB109" s="24">
        <v>5.2</v>
      </c>
      <c r="AC109" s="24">
        <v>43.0</v>
      </c>
      <c r="AD109" s="24">
        <v>8.9</v>
      </c>
      <c r="AE109" s="24">
        <v>1.1704</v>
      </c>
      <c r="AF109" s="24">
        <v>1.709302</v>
      </c>
      <c r="AG109" s="24">
        <v>1.078652</v>
      </c>
      <c r="AH109" s="24">
        <v>1.076923</v>
      </c>
      <c r="AI109" s="24">
        <v>1.102459</v>
      </c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</row>
    <row r="110">
      <c r="A110" s="51" t="s">
        <v>47</v>
      </c>
      <c r="B110" s="51" t="s">
        <v>111</v>
      </c>
      <c r="C110" s="24">
        <v>1995.0</v>
      </c>
      <c r="D110" s="24">
        <v>0.06707</v>
      </c>
      <c r="E110" s="52">
        <v>17.8</v>
      </c>
      <c r="F110" s="53">
        <f t="shared" si="1"/>
        <v>1.398709974</v>
      </c>
      <c r="G110" s="52">
        <v>2.2</v>
      </c>
      <c r="H110" s="54">
        <f t="shared" si="2"/>
        <v>0.1696240944</v>
      </c>
      <c r="I110" s="52">
        <v>5.2</v>
      </c>
      <c r="J110" s="54">
        <f t="shared" si="3"/>
        <v>0.6162056518</v>
      </c>
      <c r="K110" s="55">
        <v>1.188311688</v>
      </c>
      <c r="L110" s="54">
        <f t="shared" si="4"/>
        <v>0.09218324698</v>
      </c>
      <c r="M110" s="55">
        <v>0.272727273</v>
      </c>
      <c r="N110" s="56">
        <f t="shared" si="5"/>
        <v>0.01969887973</v>
      </c>
      <c r="O110" s="57">
        <v>0.519</v>
      </c>
      <c r="P110" s="24">
        <v>28591.0</v>
      </c>
      <c r="Q110" s="24">
        <v>7650.0</v>
      </c>
      <c r="R110" s="24">
        <v>2846.0</v>
      </c>
      <c r="S110" s="24">
        <v>672.0</v>
      </c>
      <c r="T110" s="24">
        <v>1470.0</v>
      </c>
      <c r="U110" s="24">
        <v>24.9051</v>
      </c>
      <c r="V110" s="24">
        <v>6.6638</v>
      </c>
      <c r="W110" s="24">
        <v>2.4791</v>
      </c>
      <c r="X110" s="24">
        <v>0.5854</v>
      </c>
      <c r="Y110" s="24">
        <v>1.2805</v>
      </c>
      <c r="Z110" s="24">
        <v>101.4</v>
      </c>
      <c r="AA110" s="24">
        <v>23.4</v>
      </c>
      <c r="AB110" s="24">
        <v>5.2</v>
      </c>
      <c r="AC110" s="24">
        <v>41.6</v>
      </c>
      <c r="AD110" s="24">
        <v>8.3</v>
      </c>
      <c r="AE110" s="24">
        <v>1.1716</v>
      </c>
      <c r="AF110" s="24">
        <v>1.766827</v>
      </c>
      <c r="AG110" s="24">
        <v>1.156627</v>
      </c>
      <c r="AH110" s="24">
        <v>1.076923</v>
      </c>
      <c r="AI110" s="24">
        <v>1.149573</v>
      </c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</row>
    <row r="111">
      <c r="A111" s="51" t="s">
        <v>47</v>
      </c>
      <c r="B111" s="51" t="s">
        <v>111</v>
      </c>
      <c r="C111" s="24">
        <v>1997.0</v>
      </c>
      <c r="D111" s="24">
        <v>0.05488</v>
      </c>
      <c r="E111" s="52">
        <v>18.2</v>
      </c>
      <c r="F111" s="53">
        <f t="shared" si="1"/>
        <v>1.224548416</v>
      </c>
      <c r="G111" s="52">
        <v>1.9</v>
      </c>
      <c r="H111" s="54">
        <f t="shared" si="2"/>
        <v>0.1274961897</v>
      </c>
      <c r="I111" s="52">
        <v>6.4</v>
      </c>
      <c r="J111" s="54">
        <f t="shared" si="3"/>
        <v>0.6281155615</v>
      </c>
      <c r="K111" s="55">
        <v>0.928571429</v>
      </c>
      <c r="L111" s="54">
        <f t="shared" si="4"/>
        <v>0.05966050275</v>
      </c>
      <c r="M111" s="55">
        <v>0.738095238</v>
      </c>
      <c r="N111" s="56">
        <f t="shared" si="5"/>
        <v>0.04629332754</v>
      </c>
      <c r="O111" s="57">
        <v>0.517</v>
      </c>
      <c r="P111" s="24">
        <v>28591.0</v>
      </c>
      <c r="Q111" s="24">
        <v>7650.0</v>
      </c>
      <c r="R111" s="24">
        <v>2846.0</v>
      </c>
      <c r="S111" s="24">
        <v>672.0</v>
      </c>
      <c r="T111" s="24">
        <v>1470.0</v>
      </c>
      <c r="U111" s="24">
        <v>24.9051</v>
      </c>
      <c r="V111" s="24">
        <v>6.6638</v>
      </c>
      <c r="W111" s="24">
        <v>2.4791</v>
      </c>
      <c r="X111" s="24">
        <v>0.5854</v>
      </c>
      <c r="Y111" s="24">
        <v>1.2805</v>
      </c>
      <c r="Z111" s="24">
        <v>96.9</v>
      </c>
      <c r="AA111" s="24">
        <v>22.0</v>
      </c>
      <c r="AB111" s="24">
        <v>4.9</v>
      </c>
      <c r="AC111" s="24">
        <v>41.1</v>
      </c>
      <c r="AD111" s="24">
        <v>8.2</v>
      </c>
      <c r="AE111" s="24">
        <v>1.226</v>
      </c>
      <c r="AF111" s="24">
        <v>1.788321</v>
      </c>
      <c r="AG111" s="24">
        <v>1.170732</v>
      </c>
      <c r="AH111" s="24">
        <v>1.142857</v>
      </c>
      <c r="AI111" s="24">
        <v>1.222727</v>
      </c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</row>
    <row r="112">
      <c r="A112" s="51" t="s">
        <v>47</v>
      </c>
      <c r="B112" s="51" t="s">
        <v>111</v>
      </c>
      <c r="C112" s="24">
        <v>1999.0</v>
      </c>
      <c r="D112" s="24">
        <v>0.02352</v>
      </c>
      <c r="E112" s="52">
        <v>5.0</v>
      </c>
      <c r="F112" s="53">
        <f t="shared" si="1"/>
        <v>0.15251544</v>
      </c>
      <c r="G112" s="52">
        <v>0.6</v>
      </c>
      <c r="H112" s="54">
        <f t="shared" si="2"/>
        <v>0.0183387839</v>
      </c>
      <c r="I112" s="52">
        <v>2.6</v>
      </c>
      <c r="J112" s="54">
        <f t="shared" si="3"/>
        <v>0.1077859037</v>
      </c>
      <c r="K112" s="55">
        <v>0.222222222</v>
      </c>
      <c r="L112" s="54">
        <f t="shared" si="4"/>
        <v>0.005973332581</v>
      </c>
      <c r="M112" s="55">
        <v>0.055555556</v>
      </c>
      <c r="N112" s="56">
        <f t="shared" si="5"/>
        <v>0.001463466678</v>
      </c>
      <c r="O112" s="57">
        <v>0.445</v>
      </c>
      <c r="P112" s="24">
        <v>28591.0</v>
      </c>
      <c r="Q112" s="24">
        <v>7650.0</v>
      </c>
      <c r="R112" s="24">
        <v>2846.0</v>
      </c>
      <c r="S112" s="24">
        <v>672.0</v>
      </c>
      <c r="T112" s="24">
        <v>1470.0</v>
      </c>
      <c r="U112" s="24">
        <v>24.9051</v>
      </c>
      <c r="V112" s="24">
        <v>6.6638</v>
      </c>
      <c r="W112" s="24">
        <v>2.4791</v>
      </c>
      <c r="X112" s="24">
        <v>0.5854</v>
      </c>
      <c r="Y112" s="24">
        <v>1.2805</v>
      </c>
      <c r="Z112" s="24">
        <v>91.6</v>
      </c>
      <c r="AA112" s="24">
        <v>20.7</v>
      </c>
      <c r="AB112" s="24">
        <v>5.0</v>
      </c>
      <c r="AC112" s="24">
        <v>41.7</v>
      </c>
      <c r="AD112" s="24">
        <v>8.4</v>
      </c>
      <c r="AE112" s="24">
        <v>1.2969</v>
      </c>
      <c r="AF112" s="24">
        <v>1.76259</v>
      </c>
      <c r="AG112" s="24">
        <v>1.142857</v>
      </c>
      <c r="AH112" s="24">
        <v>1.12</v>
      </c>
      <c r="AI112" s="24">
        <v>1.299517</v>
      </c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</row>
    <row r="113">
      <c r="A113" s="51" t="s">
        <v>56</v>
      </c>
      <c r="B113" s="51" t="s">
        <v>104</v>
      </c>
      <c r="C113" s="24">
        <v>2004.0</v>
      </c>
      <c r="D113" s="24">
        <v>0.05442</v>
      </c>
      <c r="E113" s="52">
        <v>16.2</v>
      </c>
      <c r="F113" s="53">
        <f t="shared" si="1"/>
        <v>1.121312128</v>
      </c>
      <c r="G113" s="52">
        <v>4.5</v>
      </c>
      <c r="H113" s="54">
        <f t="shared" si="2"/>
        <v>0.3092742748</v>
      </c>
      <c r="I113" s="52">
        <v>4.0</v>
      </c>
      <c r="J113" s="54">
        <f t="shared" si="3"/>
        <v>0.3791345621</v>
      </c>
      <c r="K113" s="55">
        <v>2.114754098</v>
      </c>
      <c r="L113" s="54">
        <f t="shared" si="4"/>
        <v>0.1398500415</v>
      </c>
      <c r="M113" s="55">
        <v>0.836065574</v>
      </c>
      <c r="N113" s="56">
        <f t="shared" si="5"/>
        <v>0.04995933446</v>
      </c>
      <c r="O113" s="57">
        <v>0.53</v>
      </c>
      <c r="P113" s="24">
        <v>23930.0</v>
      </c>
      <c r="Q113" s="24">
        <v>5185.0</v>
      </c>
      <c r="R113" s="24">
        <v>5929.0</v>
      </c>
      <c r="S113" s="24">
        <v>932.0</v>
      </c>
      <c r="T113" s="24">
        <v>1681.0</v>
      </c>
      <c r="U113" s="24">
        <v>21.347</v>
      </c>
      <c r="V113" s="24">
        <v>4.6253</v>
      </c>
      <c r="W113" s="24">
        <v>5.289</v>
      </c>
      <c r="X113" s="24">
        <v>0.8314</v>
      </c>
      <c r="Y113" s="24">
        <v>1.4996</v>
      </c>
      <c r="Z113" s="24">
        <v>93.4</v>
      </c>
      <c r="AA113" s="24">
        <v>21.3</v>
      </c>
      <c r="AB113" s="24">
        <v>5.1</v>
      </c>
      <c r="AC113" s="24">
        <v>42.2</v>
      </c>
      <c r="AD113" s="24">
        <v>7.9</v>
      </c>
      <c r="AE113" s="24">
        <v>1.2719</v>
      </c>
      <c r="AF113" s="24">
        <v>1.741706</v>
      </c>
      <c r="AG113" s="24">
        <v>1.21519</v>
      </c>
      <c r="AH113" s="24">
        <v>1.098039</v>
      </c>
      <c r="AI113" s="24">
        <v>1.262911</v>
      </c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</row>
    <row r="114">
      <c r="A114" s="51" t="s">
        <v>56</v>
      </c>
      <c r="B114" s="51" t="s">
        <v>104</v>
      </c>
      <c r="C114" s="24">
        <v>2005.0</v>
      </c>
      <c r="D114" s="24">
        <v>0.06869</v>
      </c>
      <c r="E114" s="52">
        <v>24.1</v>
      </c>
      <c r="F114" s="53">
        <f t="shared" si="1"/>
        <v>2.023265324</v>
      </c>
      <c r="G114" s="52">
        <v>6.8</v>
      </c>
      <c r="H114" s="54">
        <f t="shared" si="2"/>
        <v>0.5898956248</v>
      </c>
      <c r="I114" s="52">
        <v>5.2</v>
      </c>
      <c r="J114" s="54">
        <f t="shared" si="3"/>
        <v>0.6265709743</v>
      </c>
      <c r="K114" s="55">
        <v>2.357142857</v>
      </c>
      <c r="L114" s="54">
        <f t="shared" si="4"/>
        <v>0.2072475428</v>
      </c>
      <c r="M114" s="55">
        <v>1.597402597</v>
      </c>
      <c r="N114" s="56">
        <f t="shared" si="5"/>
        <v>0.1254006522</v>
      </c>
      <c r="O114" s="57">
        <v>0.561</v>
      </c>
      <c r="P114" s="24">
        <v>23930.0</v>
      </c>
      <c r="Q114" s="24">
        <v>5185.0</v>
      </c>
      <c r="R114" s="24">
        <v>5929.0</v>
      </c>
      <c r="S114" s="24">
        <v>932.0</v>
      </c>
      <c r="T114" s="24">
        <v>1681.0</v>
      </c>
      <c r="U114" s="24">
        <v>21.347</v>
      </c>
      <c r="V114" s="24">
        <v>4.6253</v>
      </c>
      <c r="W114" s="24">
        <v>5.289</v>
      </c>
      <c r="X114" s="24">
        <v>0.8314</v>
      </c>
      <c r="Y114" s="24">
        <v>1.4996</v>
      </c>
      <c r="Z114" s="24">
        <v>97.2</v>
      </c>
      <c r="AA114" s="24">
        <v>21.3</v>
      </c>
      <c r="AB114" s="24">
        <v>4.9</v>
      </c>
      <c r="AC114" s="24">
        <v>41.9</v>
      </c>
      <c r="AD114" s="24">
        <v>7.5</v>
      </c>
      <c r="AE114" s="24">
        <v>1.2222</v>
      </c>
      <c r="AF114" s="24">
        <v>1.754177</v>
      </c>
      <c r="AG114" s="24">
        <v>1.28</v>
      </c>
      <c r="AH114" s="24">
        <v>1.142857</v>
      </c>
      <c r="AI114" s="24">
        <v>1.262911</v>
      </c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</row>
    <row r="115">
      <c r="A115" s="51" t="s">
        <v>56</v>
      </c>
      <c r="B115" s="51" t="s">
        <v>104</v>
      </c>
      <c r="C115" s="24">
        <v>2006.0</v>
      </c>
      <c r="D115" s="24">
        <v>0.0669</v>
      </c>
      <c r="E115" s="52">
        <v>27.2</v>
      </c>
      <c r="F115" s="53">
        <f t="shared" si="1"/>
        <v>2.228562096</v>
      </c>
      <c r="G115" s="52">
        <v>6.7</v>
      </c>
      <c r="H115" s="54">
        <f t="shared" si="2"/>
        <v>0.5853099398</v>
      </c>
      <c r="I115" s="52">
        <v>5.7</v>
      </c>
      <c r="J115" s="54">
        <f t="shared" si="3"/>
        <v>0.6836038084</v>
      </c>
      <c r="K115" s="55">
        <v>2.92</v>
      </c>
      <c r="L115" s="54">
        <f t="shared" si="4"/>
        <v>0.2604639349</v>
      </c>
      <c r="M115" s="55">
        <v>1.16</v>
      </c>
      <c r="N115" s="56">
        <f t="shared" si="5"/>
        <v>0.09246431236</v>
      </c>
      <c r="O115" s="57">
        <v>0.577</v>
      </c>
      <c r="P115" s="24">
        <v>23930.0</v>
      </c>
      <c r="Q115" s="24">
        <v>5185.0</v>
      </c>
      <c r="R115" s="24">
        <v>5929.0</v>
      </c>
      <c r="S115" s="24">
        <v>932.0</v>
      </c>
      <c r="T115" s="24">
        <v>1681.0</v>
      </c>
      <c r="U115" s="24">
        <v>21.347</v>
      </c>
      <c r="V115" s="24">
        <v>4.6253</v>
      </c>
      <c r="W115" s="24">
        <v>5.289</v>
      </c>
      <c r="X115" s="24">
        <v>0.8314</v>
      </c>
      <c r="Y115" s="24">
        <v>1.4996</v>
      </c>
      <c r="Z115" s="24">
        <v>97.0</v>
      </c>
      <c r="AA115" s="24">
        <v>20.6</v>
      </c>
      <c r="AB115" s="24">
        <v>4.7</v>
      </c>
      <c r="AC115" s="24">
        <v>41.0</v>
      </c>
      <c r="AD115" s="24">
        <v>7.2</v>
      </c>
      <c r="AE115" s="24">
        <v>1.2247</v>
      </c>
      <c r="AF115" s="24">
        <v>1.792683</v>
      </c>
      <c r="AG115" s="24">
        <v>1.333333</v>
      </c>
      <c r="AH115" s="24">
        <v>1.191489</v>
      </c>
      <c r="AI115" s="24">
        <v>1.305825</v>
      </c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</row>
    <row r="116">
      <c r="A116" s="51" t="s">
        <v>56</v>
      </c>
      <c r="B116" s="51" t="s">
        <v>104</v>
      </c>
      <c r="C116" s="24">
        <v>2007.0</v>
      </c>
      <c r="D116" s="24">
        <v>0.0455</v>
      </c>
      <c r="E116" s="52">
        <v>27.4</v>
      </c>
      <c r="F116" s="53">
        <f t="shared" si="1"/>
        <v>1.50052812</v>
      </c>
      <c r="G116" s="52">
        <v>7.5</v>
      </c>
      <c r="H116" s="54">
        <f t="shared" si="2"/>
        <v>0.4309683788</v>
      </c>
      <c r="I116" s="52">
        <v>4.7</v>
      </c>
      <c r="J116" s="54">
        <f t="shared" si="3"/>
        <v>0.3824324459</v>
      </c>
      <c r="K116" s="55">
        <v>3.147058824</v>
      </c>
      <c r="L116" s="54">
        <f t="shared" si="4"/>
        <v>0.1909215209</v>
      </c>
      <c r="M116" s="55">
        <v>1.823529412</v>
      </c>
      <c r="N116" s="56">
        <f t="shared" si="5"/>
        <v>0.1010076474</v>
      </c>
      <c r="O116" s="57">
        <v>0.583</v>
      </c>
      <c r="P116" s="24">
        <v>23930.0</v>
      </c>
      <c r="Q116" s="24">
        <v>5185.0</v>
      </c>
      <c r="R116" s="24">
        <v>5929.0</v>
      </c>
      <c r="S116" s="24">
        <v>932.0</v>
      </c>
      <c r="T116" s="24">
        <v>1681.0</v>
      </c>
      <c r="U116" s="24">
        <v>21.347</v>
      </c>
      <c r="V116" s="24">
        <v>4.6253</v>
      </c>
      <c r="W116" s="24">
        <v>5.289</v>
      </c>
      <c r="X116" s="24">
        <v>0.8314</v>
      </c>
      <c r="Y116" s="24">
        <v>1.4996</v>
      </c>
      <c r="Z116" s="24">
        <v>98.7</v>
      </c>
      <c r="AA116" s="24">
        <v>21.3</v>
      </c>
      <c r="AB116" s="24">
        <v>4.6</v>
      </c>
      <c r="AC116" s="24">
        <v>41.1</v>
      </c>
      <c r="AD116" s="24">
        <v>7.2</v>
      </c>
      <c r="AE116" s="24">
        <v>1.2036</v>
      </c>
      <c r="AF116" s="24">
        <v>1.788321</v>
      </c>
      <c r="AG116" s="24">
        <v>1.333333</v>
      </c>
      <c r="AH116" s="24">
        <v>1.217391</v>
      </c>
      <c r="AI116" s="24">
        <v>1.262911</v>
      </c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</row>
    <row r="117">
      <c r="A117" s="51" t="s">
        <v>56</v>
      </c>
      <c r="B117" s="51" t="s">
        <v>104</v>
      </c>
      <c r="C117" s="24">
        <v>2008.0</v>
      </c>
      <c r="D117" s="24">
        <v>0.0455</v>
      </c>
      <c r="E117" s="52">
        <v>24.6</v>
      </c>
      <c r="F117" s="53">
        <f t="shared" si="1"/>
        <v>1.33107156</v>
      </c>
      <c r="G117" s="52">
        <v>6.9</v>
      </c>
      <c r="H117" s="54">
        <f t="shared" si="2"/>
        <v>0.3873970328</v>
      </c>
      <c r="I117" s="52">
        <v>4.2</v>
      </c>
      <c r="J117" s="54">
        <f t="shared" si="3"/>
        <v>0.334425</v>
      </c>
      <c r="K117" s="55">
        <v>2.558823529</v>
      </c>
      <c r="L117" s="54">
        <f t="shared" si="4"/>
        <v>0.1531087258</v>
      </c>
      <c r="M117" s="55">
        <v>1.088235294</v>
      </c>
      <c r="N117" s="56">
        <f t="shared" si="5"/>
        <v>0.05899622739</v>
      </c>
      <c r="O117" s="57">
        <v>0.549</v>
      </c>
      <c r="P117" s="24">
        <v>23930.0</v>
      </c>
      <c r="Q117" s="24">
        <v>5185.0</v>
      </c>
      <c r="R117" s="24">
        <v>5929.0</v>
      </c>
      <c r="S117" s="24">
        <v>932.0</v>
      </c>
      <c r="T117" s="24">
        <v>1681.0</v>
      </c>
      <c r="U117" s="24">
        <v>21.347</v>
      </c>
      <c r="V117" s="24">
        <v>4.6253</v>
      </c>
      <c r="W117" s="24">
        <v>5.289</v>
      </c>
      <c r="X117" s="24">
        <v>0.8314</v>
      </c>
      <c r="Y117" s="24">
        <v>1.4996</v>
      </c>
      <c r="Z117" s="24">
        <v>99.9</v>
      </c>
      <c r="AA117" s="24">
        <v>21.8</v>
      </c>
      <c r="AB117" s="24">
        <v>4.7</v>
      </c>
      <c r="AC117" s="24">
        <v>42.0</v>
      </c>
      <c r="AD117" s="24">
        <v>7.3</v>
      </c>
      <c r="AE117" s="24">
        <v>1.1892</v>
      </c>
      <c r="AF117" s="24">
        <v>1.75</v>
      </c>
      <c r="AG117" s="24">
        <v>1.315068</v>
      </c>
      <c r="AH117" s="24">
        <v>1.191489</v>
      </c>
      <c r="AI117" s="24">
        <v>1.233945</v>
      </c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</row>
    <row r="118">
      <c r="A118" s="51" t="s">
        <v>56</v>
      </c>
      <c r="B118" s="51" t="s">
        <v>104</v>
      </c>
      <c r="C118" s="24">
        <v>2009.0</v>
      </c>
      <c r="D118" s="24">
        <v>0.07047</v>
      </c>
      <c r="E118" s="52">
        <v>30.2</v>
      </c>
      <c r="F118" s="53">
        <f t="shared" si="1"/>
        <v>2.528294472</v>
      </c>
      <c r="G118" s="52">
        <v>7.5</v>
      </c>
      <c r="H118" s="54">
        <f t="shared" si="2"/>
        <v>0.6770151558</v>
      </c>
      <c r="I118" s="52">
        <v>5.0</v>
      </c>
      <c r="J118" s="54">
        <f t="shared" si="3"/>
        <v>0.6270635534</v>
      </c>
      <c r="K118" s="55">
        <v>3.284810127</v>
      </c>
      <c r="L118" s="54">
        <f t="shared" si="4"/>
        <v>0.3044126898</v>
      </c>
      <c r="M118" s="55">
        <v>2.012658228</v>
      </c>
      <c r="N118" s="56">
        <f t="shared" si="5"/>
        <v>0.1654707435</v>
      </c>
      <c r="O118" s="57">
        <v>0.574</v>
      </c>
      <c r="P118" s="24">
        <v>23930.0</v>
      </c>
      <c r="Q118" s="24">
        <v>5185.0</v>
      </c>
      <c r="R118" s="24">
        <v>5929.0</v>
      </c>
      <c r="S118" s="24">
        <v>932.0</v>
      </c>
      <c r="T118" s="24">
        <v>1681.0</v>
      </c>
      <c r="U118" s="24">
        <v>21.347</v>
      </c>
      <c r="V118" s="24">
        <v>4.6253</v>
      </c>
      <c r="W118" s="24">
        <v>5.289</v>
      </c>
      <c r="X118" s="24">
        <v>0.8314</v>
      </c>
      <c r="Y118" s="24">
        <v>1.4996</v>
      </c>
      <c r="Z118" s="24">
        <v>100.0</v>
      </c>
      <c r="AA118" s="24">
        <v>21.0</v>
      </c>
      <c r="AB118" s="24">
        <v>4.8</v>
      </c>
      <c r="AC118" s="24">
        <v>41.3</v>
      </c>
      <c r="AD118" s="24">
        <v>7.3</v>
      </c>
      <c r="AE118" s="24">
        <v>1.188</v>
      </c>
      <c r="AF118" s="24">
        <v>1.779661</v>
      </c>
      <c r="AG118" s="24">
        <v>1.315068</v>
      </c>
      <c r="AH118" s="24">
        <v>1.166667</v>
      </c>
      <c r="AI118" s="24">
        <v>1.280952</v>
      </c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</row>
    <row r="119">
      <c r="A119" s="51" t="s">
        <v>56</v>
      </c>
      <c r="B119" s="51" t="s">
        <v>104</v>
      </c>
      <c r="C119" s="24">
        <v>2010.0</v>
      </c>
      <c r="D119" s="24">
        <v>0.06869</v>
      </c>
      <c r="E119" s="52">
        <v>26.6</v>
      </c>
      <c r="F119" s="53">
        <f t="shared" si="1"/>
        <v>2.162071328</v>
      </c>
      <c r="G119" s="52">
        <v>6.5</v>
      </c>
      <c r="H119" s="54">
        <f t="shared" si="2"/>
        <v>0.566530529</v>
      </c>
      <c r="I119" s="52">
        <v>4.8</v>
      </c>
      <c r="J119" s="54">
        <f t="shared" si="3"/>
        <v>0.5811470741</v>
      </c>
      <c r="K119" s="55">
        <v>2.766233766</v>
      </c>
      <c r="L119" s="54">
        <f t="shared" si="4"/>
        <v>0.2533500665</v>
      </c>
      <c r="M119" s="55">
        <v>1.597402597</v>
      </c>
      <c r="N119" s="56">
        <f t="shared" si="5"/>
        <v>0.1254006522</v>
      </c>
      <c r="O119" s="57">
        <v>0.562</v>
      </c>
      <c r="P119" s="24">
        <v>23930.0</v>
      </c>
      <c r="Q119" s="24">
        <v>5185.0</v>
      </c>
      <c r="R119" s="24">
        <v>5929.0</v>
      </c>
      <c r="S119" s="24">
        <v>932.0</v>
      </c>
      <c r="T119" s="24">
        <v>1681.0</v>
      </c>
      <c r="U119" s="24">
        <v>21.347</v>
      </c>
      <c r="V119" s="24">
        <v>4.6253</v>
      </c>
      <c r="W119" s="24">
        <v>5.289</v>
      </c>
      <c r="X119" s="24">
        <v>0.8314</v>
      </c>
      <c r="Y119" s="24">
        <v>1.4996</v>
      </c>
      <c r="Z119" s="24">
        <v>100.4</v>
      </c>
      <c r="AA119" s="24">
        <v>21.2</v>
      </c>
      <c r="AB119" s="24">
        <v>4.9</v>
      </c>
      <c r="AC119" s="24">
        <v>41.7</v>
      </c>
      <c r="AD119" s="24">
        <v>7.2</v>
      </c>
      <c r="AE119" s="24">
        <v>1.1833</v>
      </c>
      <c r="AF119" s="24">
        <v>1.76259</v>
      </c>
      <c r="AG119" s="24">
        <v>1.333333</v>
      </c>
      <c r="AH119" s="24">
        <v>1.142857</v>
      </c>
      <c r="AI119" s="24">
        <v>1.268868</v>
      </c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</row>
    <row r="120">
      <c r="A120" s="51" t="s">
        <v>56</v>
      </c>
      <c r="B120" s="51" t="s">
        <v>104</v>
      </c>
      <c r="C120" s="24">
        <v>2011.0</v>
      </c>
      <c r="D120" s="24">
        <v>0.0678</v>
      </c>
      <c r="E120" s="52">
        <v>25.5</v>
      </c>
      <c r="F120" s="53">
        <f t="shared" si="1"/>
        <v>2.06223192</v>
      </c>
      <c r="G120" s="52">
        <v>4.6</v>
      </c>
      <c r="H120" s="54">
        <f t="shared" si="2"/>
        <v>0.3902127164</v>
      </c>
      <c r="I120" s="52">
        <v>6.4</v>
      </c>
      <c r="J120" s="54">
        <f t="shared" si="3"/>
        <v>0.770365079</v>
      </c>
      <c r="K120" s="55">
        <v>2.190789474</v>
      </c>
      <c r="L120" s="54">
        <f t="shared" si="4"/>
        <v>0.1953343175</v>
      </c>
      <c r="M120" s="55">
        <v>1.717105263</v>
      </c>
      <c r="N120" s="56">
        <f t="shared" si="5"/>
        <v>0.1330511112</v>
      </c>
      <c r="O120" s="57">
        <v>0.581</v>
      </c>
      <c r="P120" s="24">
        <v>23930.0</v>
      </c>
      <c r="Q120" s="24">
        <v>5185.0</v>
      </c>
      <c r="R120" s="24">
        <v>5929.0</v>
      </c>
      <c r="S120" s="24">
        <v>932.0</v>
      </c>
      <c r="T120" s="24">
        <v>1681.0</v>
      </c>
      <c r="U120" s="24">
        <v>21.347</v>
      </c>
      <c r="V120" s="24">
        <v>4.6253</v>
      </c>
      <c r="W120" s="24">
        <v>5.289</v>
      </c>
      <c r="X120" s="24">
        <v>0.8314</v>
      </c>
      <c r="Y120" s="24">
        <v>1.4996</v>
      </c>
      <c r="Z120" s="24">
        <v>99.6</v>
      </c>
      <c r="AA120" s="24">
        <v>21.5</v>
      </c>
      <c r="AB120" s="24">
        <v>4.9</v>
      </c>
      <c r="AC120" s="24">
        <v>41.4</v>
      </c>
      <c r="AD120" s="24">
        <v>7.3</v>
      </c>
      <c r="AE120" s="24">
        <v>1.1928</v>
      </c>
      <c r="AF120" s="24">
        <v>1.775362</v>
      </c>
      <c r="AG120" s="24">
        <v>1.315068</v>
      </c>
      <c r="AH120" s="24">
        <v>1.142857</v>
      </c>
      <c r="AI120" s="24">
        <v>1.251163</v>
      </c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</row>
    <row r="121">
      <c r="A121" s="51" t="s">
        <v>56</v>
      </c>
      <c r="B121" s="51" t="s">
        <v>104</v>
      </c>
      <c r="C121" s="24">
        <v>2012.0</v>
      </c>
      <c r="D121" s="24">
        <v>0.04371</v>
      </c>
      <c r="E121" s="52">
        <v>22.1</v>
      </c>
      <c r="F121" s="53">
        <f t="shared" si="1"/>
        <v>1.191646498</v>
      </c>
      <c r="G121" s="52">
        <v>4.6</v>
      </c>
      <c r="H121" s="54">
        <f t="shared" si="2"/>
        <v>0.2575558948</v>
      </c>
      <c r="I121" s="52">
        <v>4.8</v>
      </c>
      <c r="J121" s="54">
        <f t="shared" si="3"/>
        <v>0.3654238524</v>
      </c>
      <c r="K121" s="55">
        <v>2.510204082</v>
      </c>
      <c r="L121" s="54">
        <f t="shared" si="4"/>
        <v>0.1367950114</v>
      </c>
      <c r="M121" s="55">
        <v>1.928571429</v>
      </c>
      <c r="N121" s="56">
        <f t="shared" si="5"/>
        <v>0.09256233478</v>
      </c>
      <c r="O121" s="57">
        <v>0.559</v>
      </c>
      <c r="P121" s="24">
        <v>23930.0</v>
      </c>
      <c r="Q121" s="24">
        <v>5185.0</v>
      </c>
      <c r="R121" s="24">
        <v>5929.0</v>
      </c>
      <c r="S121" s="24">
        <v>932.0</v>
      </c>
      <c r="T121" s="24">
        <v>1681.0</v>
      </c>
      <c r="U121" s="24">
        <v>21.347</v>
      </c>
      <c r="V121" s="24">
        <v>4.6253</v>
      </c>
      <c r="W121" s="24">
        <v>5.289</v>
      </c>
      <c r="X121" s="24">
        <v>0.8314</v>
      </c>
      <c r="Y121" s="24">
        <v>1.4996</v>
      </c>
      <c r="Z121" s="24">
        <v>96.3</v>
      </c>
      <c r="AA121" s="24">
        <v>21.0</v>
      </c>
      <c r="AB121" s="24">
        <v>5.1</v>
      </c>
      <c r="AC121" s="24">
        <v>42.2</v>
      </c>
      <c r="AD121" s="24">
        <v>7.7</v>
      </c>
      <c r="AE121" s="24">
        <v>1.2336</v>
      </c>
      <c r="AF121" s="24">
        <v>1.741706</v>
      </c>
      <c r="AG121" s="24">
        <v>1.246753</v>
      </c>
      <c r="AH121" s="24">
        <v>1.098039</v>
      </c>
      <c r="AI121" s="24">
        <v>1.280952</v>
      </c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</row>
    <row r="122">
      <c r="A122" s="51" t="s">
        <v>56</v>
      </c>
      <c r="B122" s="51" t="s">
        <v>104</v>
      </c>
      <c r="C122" s="24">
        <v>2013.0</v>
      </c>
      <c r="D122" s="24">
        <v>0.06155</v>
      </c>
      <c r="E122" s="52">
        <v>21.2</v>
      </c>
      <c r="F122" s="53">
        <f t="shared" si="1"/>
        <v>1.58018546</v>
      </c>
      <c r="G122" s="52">
        <v>5.1</v>
      </c>
      <c r="H122" s="54">
        <f t="shared" si="2"/>
        <v>0.3820835965</v>
      </c>
      <c r="I122" s="52">
        <v>5.0</v>
      </c>
      <c r="J122" s="54">
        <f t="shared" si="3"/>
        <v>0.5372831833</v>
      </c>
      <c r="K122" s="55">
        <v>2.782608696</v>
      </c>
      <c r="L122" s="54">
        <f t="shared" si="4"/>
        <v>0.2107932715</v>
      </c>
      <c r="M122" s="55">
        <v>1.217391304</v>
      </c>
      <c r="N122" s="56">
        <f t="shared" si="5"/>
        <v>0.08227653965</v>
      </c>
      <c r="O122" s="57">
        <v>0.571</v>
      </c>
      <c r="P122" s="24">
        <v>23930.0</v>
      </c>
      <c r="Q122" s="24">
        <v>5185.0</v>
      </c>
      <c r="R122" s="24">
        <v>5929.0</v>
      </c>
      <c r="S122" s="24">
        <v>932.0</v>
      </c>
      <c r="T122" s="24">
        <v>1681.0</v>
      </c>
      <c r="U122" s="24">
        <v>21.347</v>
      </c>
      <c r="V122" s="24">
        <v>4.6253</v>
      </c>
      <c r="W122" s="24">
        <v>5.289</v>
      </c>
      <c r="X122" s="24">
        <v>0.8314</v>
      </c>
      <c r="Y122" s="24">
        <v>1.4996</v>
      </c>
      <c r="Z122" s="24">
        <v>98.1</v>
      </c>
      <c r="AA122" s="24">
        <v>22.1</v>
      </c>
      <c r="AB122" s="24">
        <v>5.1</v>
      </c>
      <c r="AC122" s="24">
        <v>42.1</v>
      </c>
      <c r="AD122" s="24">
        <v>7.8</v>
      </c>
      <c r="AE122" s="24">
        <v>1.211</v>
      </c>
      <c r="AF122" s="24">
        <v>1.745843</v>
      </c>
      <c r="AG122" s="24">
        <v>1.230769</v>
      </c>
      <c r="AH122" s="24">
        <v>1.098039</v>
      </c>
      <c r="AI122" s="24">
        <v>1.217195</v>
      </c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</row>
    <row r="123">
      <c r="A123" s="51" t="s">
        <v>56</v>
      </c>
      <c r="B123" s="51" t="s">
        <v>104</v>
      </c>
      <c r="C123" s="24">
        <v>2014.0</v>
      </c>
      <c r="D123" s="24">
        <v>0.04817</v>
      </c>
      <c r="E123" s="52">
        <v>19.0</v>
      </c>
      <c r="F123" s="53">
        <f t="shared" si="1"/>
        <v>1.076493526</v>
      </c>
      <c r="G123" s="52">
        <v>4.7</v>
      </c>
      <c r="H123" s="54">
        <f t="shared" si="2"/>
        <v>0.2768241701</v>
      </c>
      <c r="I123" s="52">
        <v>4.5</v>
      </c>
      <c r="J123" s="54">
        <f t="shared" si="3"/>
        <v>0.3731199789</v>
      </c>
      <c r="K123" s="55">
        <v>2.194444444</v>
      </c>
      <c r="L123" s="54">
        <f t="shared" si="4"/>
        <v>0.1317897574</v>
      </c>
      <c r="M123" s="55">
        <v>0.805555556</v>
      </c>
      <c r="N123" s="56">
        <f t="shared" si="5"/>
        <v>0.04623407582</v>
      </c>
      <c r="O123" s="57">
        <v>0.588</v>
      </c>
      <c r="P123" s="24">
        <v>23930.0</v>
      </c>
      <c r="Q123" s="24">
        <v>5185.0</v>
      </c>
      <c r="R123" s="24">
        <v>5929.0</v>
      </c>
      <c r="S123" s="24">
        <v>932.0</v>
      </c>
      <c r="T123" s="24">
        <v>1681.0</v>
      </c>
      <c r="U123" s="24">
        <v>21.347</v>
      </c>
      <c r="V123" s="24">
        <v>4.6253</v>
      </c>
      <c r="W123" s="24">
        <v>5.289</v>
      </c>
      <c r="X123" s="24">
        <v>0.8314</v>
      </c>
      <c r="Y123" s="24">
        <v>1.4996</v>
      </c>
      <c r="Z123" s="24">
        <v>101.0</v>
      </c>
      <c r="AA123" s="24">
        <v>22.0</v>
      </c>
      <c r="AB123" s="24">
        <v>4.7</v>
      </c>
      <c r="AC123" s="24">
        <v>42.7</v>
      </c>
      <c r="AD123" s="24">
        <v>7.7</v>
      </c>
      <c r="AE123" s="24">
        <v>1.1762</v>
      </c>
      <c r="AF123" s="24">
        <v>1.721311</v>
      </c>
      <c r="AG123" s="24">
        <v>1.246753</v>
      </c>
      <c r="AH123" s="24">
        <v>1.191489</v>
      </c>
      <c r="AI123" s="24">
        <v>1.222727</v>
      </c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</row>
    <row r="124">
      <c r="A124" s="51" t="s">
        <v>56</v>
      </c>
      <c r="B124" s="51" t="s">
        <v>104</v>
      </c>
      <c r="C124" s="24">
        <v>2015.0</v>
      </c>
      <c r="D124" s="24">
        <v>0.05531</v>
      </c>
      <c r="E124" s="52">
        <v>21.5</v>
      </c>
      <c r="F124" s="53">
        <f t="shared" si="1"/>
        <v>1.41272802</v>
      </c>
      <c r="G124" s="52">
        <v>4.8</v>
      </c>
      <c r="H124" s="54">
        <f t="shared" si="2"/>
        <v>0.3246193458</v>
      </c>
      <c r="I124" s="52">
        <v>3.5</v>
      </c>
      <c r="J124" s="54">
        <f t="shared" si="3"/>
        <v>0.3286027941</v>
      </c>
      <c r="K124" s="55">
        <v>1.766129032</v>
      </c>
      <c r="L124" s="54">
        <f t="shared" si="4"/>
        <v>0.1217885641</v>
      </c>
      <c r="M124" s="55">
        <v>0.508064516</v>
      </c>
      <c r="N124" s="56">
        <f t="shared" si="5"/>
        <v>0.03278456581</v>
      </c>
      <c r="O124" s="57">
        <v>0.534</v>
      </c>
      <c r="P124" s="24">
        <v>23930.0</v>
      </c>
      <c r="Q124" s="24">
        <v>5185.0</v>
      </c>
      <c r="R124" s="24">
        <v>5929.0</v>
      </c>
      <c r="S124" s="24">
        <v>932.0</v>
      </c>
      <c r="T124" s="24">
        <v>1681.0</v>
      </c>
      <c r="U124" s="24">
        <v>21.347</v>
      </c>
      <c r="V124" s="24">
        <v>4.6253</v>
      </c>
      <c r="W124" s="24">
        <v>5.289</v>
      </c>
      <c r="X124" s="24">
        <v>0.8314</v>
      </c>
      <c r="Y124" s="24">
        <v>1.4996</v>
      </c>
      <c r="Z124" s="24">
        <v>100.0</v>
      </c>
      <c r="AA124" s="24">
        <v>22.0</v>
      </c>
      <c r="AB124" s="24">
        <v>4.8</v>
      </c>
      <c r="AC124" s="24">
        <v>43.3</v>
      </c>
      <c r="AD124" s="24">
        <v>7.7</v>
      </c>
      <c r="AE124" s="24">
        <v>1.188</v>
      </c>
      <c r="AF124" s="24">
        <v>1.69746</v>
      </c>
      <c r="AG124" s="24">
        <v>1.246753</v>
      </c>
      <c r="AH124" s="24">
        <v>1.166667</v>
      </c>
      <c r="AI124" s="24">
        <v>1.222727</v>
      </c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</row>
    <row r="125">
      <c r="A125" s="51" t="s">
        <v>56</v>
      </c>
      <c r="B125" s="51" t="s">
        <v>104</v>
      </c>
      <c r="C125" s="24">
        <v>2016.0</v>
      </c>
      <c r="D125" s="24">
        <v>0.06601</v>
      </c>
      <c r="E125" s="52">
        <v>19.0</v>
      </c>
      <c r="F125" s="53">
        <f t="shared" si="1"/>
        <v>1.450846992</v>
      </c>
      <c r="G125" s="52">
        <v>4.6</v>
      </c>
      <c r="H125" s="54">
        <f t="shared" si="2"/>
        <v>0.3662814896</v>
      </c>
      <c r="I125" s="52">
        <v>4.1</v>
      </c>
      <c r="J125" s="54">
        <f t="shared" si="3"/>
        <v>0.4541577906</v>
      </c>
      <c r="K125" s="55">
        <v>1.601351351</v>
      </c>
      <c r="L125" s="54">
        <f t="shared" si="4"/>
        <v>0.1300986866</v>
      </c>
      <c r="M125" s="55">
        <v>0.851351351</v>
      </c>
      <c r="N125" s="56">
        <f t="shared" si="5"/>
        <v>0.062941427</v>
      </c>
      <c r="O125" s="57">
        <v>0.517</v>
      </c>
      <c r="P125" s="24">
        <v>23930.0</v>
      </c>
      <c r="Q125" s="24">
        <v>5185.0</v>
      </c>
      <c r="R125" s="24">
        <v>5929.0</v>
      </c>
      <c r="S125" s="24">
        <v>932.0</v>
      </c>
      <c r="T125" s="24">
        <v>1681.0</v>
      </c>
      <c r="U125" s="24">
        <v>21.347</v>
      </c>
      <c r="V125" s="24">
        <v>4.6253</v>
      </c>
      <c r="W125" s="24">
        <v>5.289</v>
      </c>
      <c r="X125" s="24">
        <v>0.8314</v>
      </c>
      <c r="Y125" s="24">
        <v>1.4996</v>
      </c>
      <c r="Z125" s="24">
        <v>102.7</v>
      </c>
      <c r="AA125" s="24">
        <v>22.3</v>
      </c>
      <c r="AB125" s="24">
        <v>5.0</v>
      </c>
      <c r="AC125" s="24">
        <v>43.8</v>
      </c>
      <c r="AD125" s="24">
        <v>7.8</v>
      </c>
      <c r="AE125" s="24">
        <v>1.1568</v>
      </c>
      <c r="AF125" s="24">
        <v>1.678082</v>
      </c>
      <c r="AG125" s="24">
        <v>1.230769</v>
      </c>
      <c r="AH125" s="24">
        <v>1.12</v>
      </c>
      <c r="AI125" s="24">
        <v>1.206278</v>
      </c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</row>
    <row r="126">
      <c r="A126" s="51" t="s">
        <v>56</v>
      </c>
      <c r="B126" s="51" t="s">
        <v>104</v>
      </c>
      <c r="C126" s="24">
        <v>2017.0</v>
      </c>
      <c r="D126" s="24">
        <v>0.05352</v>
      </c>
      <c r="E126" s="52">
        <v>18.3</v>
      </c>
      <c r="F126" s="53">
        <f t="shared" si="1"/>
        <v>1.101843</v>
      </c>
      <c r="G126" s="52">
        <v>3.8</v>
      </c>
      <c r="H126" s="54">
        <f t="shared" si="2"/>
        <v>0.2420713346</v>
      </c>
      <c r="I126" s="52">
        <v>4.5</v>
      </c>
      <c r="J126" s="54">
        <f t="shared" si="3"/>
        <v>0.4069365102</v>
      </c>
      <c r="K126" s="55">
        <v>2.15</v>
      </c>
      <c r="L126" s="54">
        <f t="shared" si="4"/>
        <v>0.1434613742</v>
      </c>
      <c r="M126" s="55">
        <v>1.025</v>
      </c>
      <c r="N126" s="56">
        <f t="shared" si="5"/>
        <v>0.06536270356</v>
      </c>
      <c r="O126" s="57">
        <v>0.508</v>
      </c>
      <c r="P126" s="24">
        <v>23930.0</v>
      </c>
      <c r="Q126" s="24">
        <v>5185.0</v>
      </c>
      <c r="R126" s="24">
        <v>5929.0</v>
      </c>
      <c r="S126" s="24">
        <v>932.0</v>
      </c>
      <c r="T126" s="24">
        <v>1681.0</v>
      </c>
      <c r="U126" s="24">
        <v>21.347</v>
      </c>
      <c r="V126" s="24">
        <v>4.6253</v>
      </c>
      <c r="W126" s="24">
        <v>5.289</v>
      </c>
      <c r="X126" s="24">
        <v>0.8314</v>
      </c>
      <c r="Y126" s="24">
        <v>1.4996</v>
      </c>
      <c r="Z126" s="24">
        <v>105.6</v>
      </c>
      <c r="AA126" s="24">
        <v>22.6</v>
      </c>
      <c r="AB126" s="24">
        <v>4.7</v>
      </c>
      <c r="AC126" s="24">
        <v>43.5</v>
      </c>
      <c r="AD126" s="24">
        <v>7.7</v>
      </c>
      <c r="AE126" s="24">
        <v>1.125</v>
      </c>
      <c r="AF126" s="24">
        <v>1.689655</v>
      </c>
      <c r="AG126" s="24">
        <v>1.246753</v>
      </c>
      <c r="AH126" s="24">
        <v>1.191489</v>
      </c>
      <c r="AI126" s="24">
        <v>1.190265</v>
      </c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</row>
    <row r="127">
      <c r="A127" s="51" t="s">
        <v>56</v>
      </c>
      <c r="B127" s="51" t="s">
        <v>104</v>
      </c>
      <c r="C127" s="24">
        <v>2018.0</v>
      </c>
      <c r="D127" s="24">
        <v>0.11954</v>
      </c>
      <c r="E127" s="52">
        <v>11.533</v>
      </c>
      <c r="F127" s="53">
        <f t="shared" si="1"/>
        <v>1.540784627</v>
      </c>
      <c r="G127" s="52">
        <v>3.333</v>
      </c>
      <c r="H127" s="54">
        <f t="shared" si="2"/>
        <v>0.4619691245</v>
      </c>
      <c r="I127" s="52">
        <v>3.7</v>
      </c>
      <c r="J127" s="54">
        <f t="shared" si="3"/>
        <v>0.7473310272</v>
      </c>
      <c r="K127" s="55">
        <v>0.910447761</v>
      </c>
      <c r="L127" s="54">
        <f t="shared" si="4"/>
        <v>0.1356902697</v>
      </c>
      <c r="M127" s="55">
        <v>0.701492537</v>
      </c>
      <c r="N127" s="56">
        <f t="shared" si="5"/>
        <v>0.09783251547</v>
      </c>
      <c r="O127" s="57">
        <v>0.495</v>
      </c>
      <c r="P127" s="24">
        <v>23930.0</v>
      </c>
      <c r="Q127" s="24">
        <v>5185.0</v>
      </c>
      <c r="R127" s="24">
        <v>5929.0</v>
      </c>
      <c r="S127" s="24">
        <v>932.0</v>
      </c>
      <c r="T127" s="24">
        <v>1681.0</v>
      </c>
      <c r="U127" s="24">
        <v>21.347</v>
      </c>
      <c r="V127" s="24">
        <v>4.6253</v>
      </c>
      <c r="W127" s="24">
        <v>5.289</v>
      </c>
      <c r="X127" s="24">
        <v>0.8314</v>
      </c>
      <c r="Y127" s="24">
        <v>1.4996</v>
      </c>
      <c r="Z127" s="24">
        <v>106.3</v>
      </c>
      <c r="AA127" s="24">
        <v>23.2</v>
      </c>
      <c r="AB127" s="24">
        <v>4.8</v>
      </c>
      <c r="AC127" s="24">
        <v>43.5</v>
      </c>
      <c r="AD127" s="24">
        <v>7.7</v>
      </c>
      <c r="AE127" s="24">
        <v>1.1176</v>
      </c>
      <c r="AF127" s="24">
        <v>1.689655</v>
      </c>
      <c r="AG127" s="24">
        <v>1.246753</v>
      </c>
      <c r="AH127" s="24">
        <v>1.166667</v>
      </c>
      <c r="AI127" s="24">
        <v>1.159483</v>
      </c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</row>
    <row r="128">
      <c r="A128" s="51" t="s">
        <v>56</v>
      </c>
      <c r="B128" s="51" t="s">
        <v>104</v>
      </c>
      <c r="C128" s="24">
        <v>2019.0</v>
      </c>
      <c r="D128" s="24">
        <v>0.06423</v>
      </c>
      <c r="E128" s="52">
        <v>15.0</v>
      </c>
      <c r="F128" s="53">
        <f t="shared" si="1"/>
        <v>1.029253635</v>
      </c>
      <c r="G128" s="52">
        <v>4.2</v>
      </c>
      <c r="H128" s="54">
        <f t="shared" si="2"/>
        <v>0.2949880419</v>
      </c>
      <c r="I128" s="52">
        <v>4.0</v>
      </c>
      <c r="J128" s="54">
        <f t="shared" si="3"/>
        <v>0.4177791535</v>
      </c>
      <c r="K128" s="55">
        <v>1.229166667</v>
      </c>
      <c r="L128" s="54">
        <f t="shared" si="4"/>
        <v>0.09972553465</v>
      </c>
      <c r="M128" s="55">
        <v>0.791666667</v>
      </c>
      <c r="N128" s="56">
        <f t="shared" si="5"/>
        <v>0.05695060002</v>
      </c>
      <c r="O128" s="57">
        <v>0.51</v>
      </c>
      <c r="P128" s="24">
        <v>23930.0</v>
      </c>
      <c r="Q128" s="24">
        <v>5185.0</v>
      </c>
      <c r="R128" s="24">
        <v>5929.0</v>
      </c>
      <c r="S128" s="24">
        <v>932.0</v>
      </c>
      <c r="T128" s="24">
        <v>1681.0</v>
      </c>
      <c r="U128" s="24">
        <v>21.347</v>
      </c>
      <c r="V128" s="24">
        <v>4.6253</v>
      </c>
      <c r="W128" s="24">
        <v>5.289</v>
      </c>
      <c r="X128" s="24">
        <v>0.8314</v>
      </c>
      <c r="Y128" s="24">
        <v>1.4996</v>
      </c>
      <c r="Z128" s="24">
        <v>111.2</v>
      </c>
      <c r="AA128" s="24">
        <v>24.6</v>
      </c>
      <c r="AB128" s="24">
        <v>5.0</v>
      </c>
      <c r="AC128" s="24">
        <v>45.2</v>
      </c>
      <c r="AD128" s="24">
        <v>7.6</v>
      </c>
      <c r="AE128" s="24">
        <v>1.0683</v>
      </c>
      <c r="AF128" s="24">
        <v>1.626106</v>
      </c>
      <c r="AG128" s="24">
        <v>1.263158</v>
      </c>
      <c r="AH128" s="24">
        <v>1.12</v>
      </c>
      <c r="AI128" s="24">
        <v>1.093496</v>
      </c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</row>
    <row r="129">
      <c r="A129" s="51" t="s">
        <v>57</v>
      </c>
      <c r="B129" s="51" t="s">
        <v>104</v>
      </c>
      <c r="C129" s="24">
        <v>1991.0</v>
      </c>
      <c r="D129" s="24">
        <v>0.05795</v>
      </c>
      <c r="E129" s="52">
        <v>7.2</v>
      </c>
      <c r="F129" s="53">
        <f t="shared" si="1"/>
        <v>0.466307424</v>
      </c>
      <c r="G129" s="52">
        <v>6.4</v>
      </c>
      <c r="H129" s="54">
        <f t="shared" si="2"/>
        <v>0.4039139107</v>
      </c>
      <c r="I129" s="52">
        <v>3.0</v>
      </c>
      <c r="J129" s="54">
        <f t="shared" si="3"/>
        <v>0.295103421</v>
      </c>
      <c r="K129" s="55">
        <v>3.018292683</v>
      </c>
      <c r="L129" s="54">
        <f t="shared" si="4"/>
        <v>0.195248428</v>
      </c>
      <c r="M129" s="55">
        <v>0.274390244</v>
      </c>
      <c r="N129" s="56">
        <f t="shared" si="5"/>
        <v>0.01680097001</v>
      </c>
      <c r="O129" s="57">
        <v>0.476</v>
      </c>
      <c r="P129" s="24">
        <v>23447.0</v>
      </c>
      <c r="Q129" s="24">
        <v>5603.0</v>
      </c>
      <c r="R129" s="24">
        <v>9629.0</v>
      </c>
      <c r="S129" s="24">
        <v>305.0</v>
      </c>
      <c r="T129" s="24">
        <v>2578.0</v>
      </c>
      <c r="U129" s="24">
        <v>16.5703</v>
      </c>
      <c r="V129" s="24">
        <v>3.9597</v>
      </c>
      <c r="W129" s="24">
        <v>6.8049</v>
      </c>
      <c r="X129" s="24">
        <v>0.2155</v>
      </c>
      <c r="Y129" s="24">
        <v>1.8219</v>
      </c>
      <c r="Z129" s="24">
        <v>106.3</v>
      </c>
      <c r="AA129" s="24">
        <v>24.7</v>
      </c>
      <c r="AB129" s="24">
        <v>5.3</v>
      </c>
      <c r="AC129" s="24">
        <v>43.3</v>
      </c>
      <c r="AD129" s="24">
        <v>8.6</v>
      </c>
      <c r="AE129" s="24">
        <v>1.1176</v>
      </c>
      <c r="AF129" s="24">
        <v>1.69746</v>
      </c>
      <c r="AG129" s="24">
        <v>1.116279</v>
      </c>
      <c r="AH129" s="24">
        <v>1.056604</v>
      </c>
      <c r="AI129" s="24">
        <v>1.089069</v>
      </c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</row>
    <row r="130">
      <c r="A130" s="51" t="s">
        <v>57</v>
      </c>
      <c r="B130" s="51" t="s">
        <v>104</v>
      </c>
      <c r="C130" s="24">
        <v>1992.0</v>
      </c>
      <c r="D130" s="24">
        <v>0.05724</v>
      </c>
      <c r="E130" s="52">
        <v>9.4</v>
      </c>
      <c r="F130" s="53">
        <f t="shared" si="1"/>
        <v>0.6070347792</v>
      </c>
      <c r="G130" s="52">
        <v>6.2</v>
      </c>
      <c r="H130" s="54">
        <f t="shared" si="2"/>
        <v>0.3896524736</v>
      </c>
      <c r="I130" s="52">
        <v>3.6</v>
      </c>
      <c r="J130" s="54">
        <f t="shared" si="3"/>
        <v>0.346583575</v>
      </c>
      <c r="K130" s="55">
        <v>2.722222222</v>
      </c>
      <c r="L130" s="54">
        <f t="shared" si="4"/>
        <v>0.1739385938</v>
      </c>
      <c r="M130" s="55">
        <v>0.388888889</v>
      </c>
      <c r="N130" s="56">
        <f t="shared" si="5"/>
        <v>0.02266473133</v>
      </c>
      <c r="O130" s="57">
        <v>0.478</v>
      </c>
      <c r="P130" s="24">
        <v>23447.0</v>
      </c>
      <c r="Q130" s="24">
        <v>5603.0</v>
      </c>
      <c r="R130" s="24">
        <v>9629.0</v>
      </c>
      <c r="S130" s="24">
        <v>305.0</v>
      </c>
      <c r="T130" s="24">
        <v>2578.0</v>
      </c>
      <c r="U130" s="24">
        <v>16.5703</v>
      </c>
      <c r="V130" s="24">
        <v>3.9597</v>
      </c>
      <c r="W130" s="24">
        <v>6.8049</v>
      </c>
      <c r="X130" s="24">
        <v>0.2155</v>
      </c>
      <c r="Y130" s="24">
        <v>1.8219</v>
      </c>
      <c r="Z130" s="24">
        <v>105.3</v>
      </c>
      <c r="AA130" s="24">
        <v>24.5</v>
      </c>
      <c r="AB130" s="24">
        <v>5.5</v>
      </c>
      <c r="AC130" s="24">
        <v>43.7</v>
      </c>
      <c r="AD130" s="24">
        <v>8.6</v>
      </c>
      <c r="AE130" s="24">
        <v>1.1282</v>
      </c>
      <c r="AF130" s="24">
        <v>1.681922</v>
      </c>
      <c r="AG130" s="24">
        <v>1.116279</v>
      </c>
      <c r="AH130" s="24">
        <v>1.018182</v>
      </c>
      <c r="AI130" s="24">
        <v>1.097959</v>
      </c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</row>
    <row r="131">
      <c r="A131" s="51" t="s">
        <v>57</v>
      </c>
      <c r="B131" s="51" t="s">
        <v>104</v>
      </c>
      <c r="C131" s="24">
        <v>1993.0</v>
      </c>
      <c r="D131" s="24">
        <v>0.05795</v>
      </c>
      <c r="E131" s="52">
        <v>13.5</v>
      </c>
      <c r="F131" s="53">
        <f t="shared" si="1"/>
        <v>0.882619065</v>
      </c>
      <c r="G131" s="52">
        <v>4.9</v>
      </c>
      <c r="H131" s="54">
        <f t="shared" si="2"/>
        <v>0.3092465879</v>
      </c>
      <c r="I131" s="52">
        <v>3.4</v>
      </c>
      <c r="J131" s="54">
        <f t="shared" si="3"/>
        <v>0.3360023521</v>
      </c>
      <c r="K131" s="55">
        <v>3.237804878</v>
      </c>
      <c r="L131" s="54">
        <f t="shared" si="4"/>
        <v>0.2094483136</v>
      </c>
      <c r="M131" s="55">
        <v>0.384146341</v>
      </c>
      <c r="N131" s="56">
        <f t="shared" si="5"/>
        <v>0.02397368494</v>
      </c>
      <c r="O131" s="57">
        <v>0.529</v>
      </c>
      <c r="P131" s="24">
        <v>23447.0</v>
      </c>
      <c r="Q131" s="24">
        <v>5603.0</v>
      </c>
      <c r="R131" s="24">
        <v>9629.0</v>
      </c>
      <c r="S131" s="24">
        <v>305.0</v>
      </c>
      <c r="T131" s="24">
        <v>2578.0</v>
      </c>
      <c r="U131" s="24">
        <v>16.5703</v>
      </c>
      <c r="V131" s="24">
        <v>3.9597</v>
      </c>
      <c r="W131" s="24">
        <v>6.8049</v>
      </c>
      <c r="X131" s="24">
        <v>0.2155</v>
      </c>
      <c r="Y131" s="24">
        <v>1.8219</v>
      </c>
      <c r="Z131" s="24">
        <v>105.3</v>
      </c>
      <c r="AA131" s="24">
        <v>24.7</v>
      </c>
      <c r="AB131" s="24">
        <v>5.2</v>
      </c>
      <c r="AC131" s="24">
        <v>43.1</v>
      </c>
      <c r="AD131" s="24">
        <v>8.6</v>
      </c>
      <c r="AE131" s="24">
        <v>1.1282</v>
      </c>
      <c r="AF131" s="24">
        <v>1.705336</v>
      </c>
      <c r="AG131" s="24">
        <v>1.116279</v>
      </c>
      <c r="AH131" s="24">
        <v>1.076923</v>
      </c>
      <c r="AI131" s="24">
        <v>1.089069</v>
      </c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</row>
    <row r="132">
      <c r="A132" s="51" t="s">
        <v>57</v>
      </c>
      <c r="B132" s="51" t="s">
        <v>104</v>
      </c>
      <c r="C132" s="24">
        <v>1994.0</v>
      </c>
      <c r="D132" s="24">
        <v>0.05795</v>
      </c>
      <c r="E132" s="52">
        <v>16.5</v>
      </c>
      <c r="F132" s="53">
        <f t="shared" si="1"/>
        <v>1.11910722</v>
      </c>
      <c r="G132" s="52">
        <v>6.0</v>
      </c>
      <c r="H132" s="54">
        <f t="shared" si="2"/>
        <v>0.3833249943</v>
      </c>
      <c r="I132" s="52">
        <v>3.3</v>
      </c>
      <c r="J132" s="54">
        <f t="shared" si="3"/>
        <v>0.326878368</v>
      </c>
      <c r="K132" s="55">
        <v>3.43902439</v>
      </c>
      <c r="L132" s="54">
        <f t="shared" si="4"/>
        <v>0.2149661356</v>
      </c>
      <c r="M132" s="55">
        <v>0.347560976</v>
      </c>
      <c r="N132" s="56">
        <f t="shared" si="5"/>
        <v>0.0216904769</v>
      </c>
      <c r="O132" s="57">
        <v>0.526</v>
      </c>
      <c r="P132" s="24">
        <v>23447.0</v>
      </c>
      <c r="Q132" s="24">
        <v>5603.0</v>
      </c>
      <c r="R132" s="24">
        <v>9629.0</v>
      </c>
      <c r="S132" s="24">
        <v>305.0</v>
      </c>
      <c r="T132" s="24">
        <v>2578.0</v>
      </c>
      <c r="U132" s="24">
        <v>16.5703</v>
      </c>
      <c r="V132" s="24">
        <v>3.9597</v>
      </c>
      <c r="W132" s="24">
        <v>6.8049</v>
      </c>
      <c r="X132" s="24">
        <v>0.2155</v>
      </c>
      <c r="Y132" s="24">
        <v>1.8219</v>
      </c>
      <c r="Z132" s="24">
        <v>101.5</v>
      </c>
      <c r="AA132" s="24">
        <v>24.4</v>
      </c>
      <c r="AB132" s="24">
        <v>5.2</v>
      </c>
      <c r="AC132" s="24">
        <v>43.0</v>
      </c>
      <c r="AD132" s="24">
        <v>8.9</v>
      </c>
      <c r="AE132" s="24">
        <v>1.1704</v>
      </c>
      <c r="AF132" s="24">
        <v>1.709302</v>
      </c>
      <c r="AG132" s="24">
        <v>1.078652</v>
      </c>
      <c r="AH132" s="24">
        <v>1.076923</v>
      </c>
      <c r="AI132" s="24">
        <v>1.102459</v>
      </c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</row>
    <row r="133">
      <c r="A133" s="51" t="s">
        <v>57</v>
      </c>
      <c r="B133" s="51" t="s">
        <v>104</v>
      </c>
      <c r="C133" s="24">
        <v>1995.0</v>
      </c>
      <c r="D133" s="24">
        <v>0.05795</v>
      </c>
      <c r="E133" s="52">
        <v>20.6</v>
      </c>
      <c r="F133" s="53">
        <f t="shared" si="1"/>
        <v>1.398620932</v>
      </c>
      <c r="G133" s="52">
        <v>7.1</v>
      </c>
      <c r="H133" s="54">
        <f t="shared" si="2"/>
        <v>0.472986063</v>
      </c>
      <c r="I133" s="52">
        <v>3.4</v>
      </c>
      <c r="J133" s="54">
        <f t="shared" si="3"/>
        <v>0.3481179238</v>
      </c>
      <c r="K133" s="55">
        <v>3.731707317</v>
      </c>
      <c r="L133" s="54">
        <f t="shared" si="4"/>
        <v>0.2501234098</v>
      </c>
      <c r="M133" s="55">
        <v>0.237804878</v>
      </c>
      <c r="N133" s="56">
        <f t="shared" si="5"/>
        <v>0.0148408526</v>
      </c>
      <c r="O133" s="57">
        <v>0.564</v>
      </c>
      <c r="P133" s="24">
        <v>23447.0</v>
      </c>
      <c r="Q133" s="24">
        <v>5603.0</v>
      </c>
      <c r="R133" s="24">
        <v>9629.0</v>
      </c>
      <c r="S133" s="24">
        <v>305.0</v>
      </c>
      <c r="T133" s="24">
        <v>2578.0</v>
      </c>
      <c r="U133" s="24">
        <v>16.5703</v>
      </c>
      <c r="V133" s="24">
        <v>3.9597</v>
      </c>
      <c r="W133" s="24">
        <v>6.8049</v>
      </c>
      <c r="X133" s="24">
        <v>0.2155</v>
      </c>
      <c r="Y133" s="24">
        <v>1.8219</v>
      </c>
      <c r="Z133" s="24">
        <v>101.4</v>
      </c>
      <c r="AA133" s="24">
        <v>23.4</v>
      </c>
      <c r="AB133" s="24">
        <v>5.2</v>
      </c>
      <c r="AC133" s="24">
        <v>41.6</v>
      </c>
      <c r="AD133" s="24">
        <v>8.3</v>
      </c>
      <c r="AE133" s="24">
        <v>1.1716</v>
      </c>
      <c r="AF133" s="24">
        <v>1.766827</v>
      </c>
      <c r="AG133" s="24">
        <v>1.156627</v>
      </c>
      <c r="AH133" s="24">
        <v>1.076923</v>
      </c>
      <c r="AI133" s="24">
        <v>1.149573</v>
      </c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</row>
    <row r="134">
      <c r="A134" s="51" t="s">
        <v>57</v>
      </c>
      <c r="B134" s="51" t="s">
        <v>104</v>
      </c>
      <c r="C134" s="24">
        <v>1996.0</v>
      </c>
      <c r="D134" s="24">
        <v>0.05724</v>
      </c>
      <c r="E134" s="52">
        <v>19.3</v>
      </c>
      <c r="F134" s="53">
        <f t="shared" si="1"/>
        <v>1.319050008</v>
      </c>
      <c r="G134" s="52">
        <v>7.5</v>
      </c>
      <c r="H134" s="54">
        <f t="shared" si="2"/>
        <v>0.5087299446</v>
      </c>
      <c r="I134" s="52">
        <v>4.2</v>
      </c>
      <c r="J134" s="54">
        <f t="shared" si="3"/>
        <v>0.4278447417</v>
      </c>
      <c r="K134" s="55">
        <v>4.277777778</v>
      </c>
      <c r="L134" s="54">
        <f t="shared" si="4"/>
        <v>0.293832</v>
      </c>
      <c r="M134" s="55">
        <v>0.351851852</v>
      </c>
      <c r="N134" s="56">
        <f t="shared" si="5"/>
        <v>0.02211450547</v>
      </c>
      <c r="O134" s="57">
        <v>0.554</v>
      </c>
      <c r="P134" s="24">
        <v>23447.0</v>
      </c>
      <c r="Q134" s="24">
        <v>5603.0</v>
      </c>
      <c r="R134" s="24">
        <v>9629.0</v>
      </c>
      <c r="S134" s="24">
        <v>305.0</v>
      </c>
      <c r="T134" s="24">
        <v>2578.0</v>
      </c>
      <c r="U134" s="24">
        <v>16.5703</v>
      </c>
      <c r="V134" s="24">
        <v>3.9597</v>
      </c>
      <c r="W134" s="24">
        <v>6.8049</v>
      </c>
      <c r="X134" s="24">
        <v>0.2155</v>
      </c>
      <c r="Y134" s="24">
        <v>1.8219</v>
      </c>
      <c r="Z134" s="24">
        <v>99.5</v>
      </c>
      <c r="AA134" s="24">
        <v>22.7</v>
      </c>
      <c r="AB134" s="24">
        <v>5.1</v>
      </c>
      <c r="AC134" s="24">
        <v>41.3</v>
      </c>
      <c r="AD134" s="24">
        <v>8.0</v>
      </c>
      <c r="AE134" s="24">
        <v>1.194</v>
      </c>
      <c r="AF134" s="24">
        <v>1.779661</v>
      </c>
      <c r="AG134" s="24">
        <v>1.2</v>
      </c>
      <c r="AH134" s="24">
        <v>1.098039</v>
      </c>
      <c r="AI134" s="24">
        <v>1.185022</v>
      </c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</row>
    <row r="135">
      <c r="A135" s="51" t="s">
        <v>57</v>
      </c>
      <c r="B135" s="51" t="s">
        <v>104</v>
      </c>
      <c r="C135" s="24">
        <v>1997.0</v>
      </c>
      <c r="D135" s="24">
        <v>0.05795</v>
      </c>
      <c r="E135" s="52">
        <v>21.8</v>
      </c>
      <c r="F135" s="53">
        <f t="shared" si="1"/>
        <v>1.54881806</v>
      </c>
      <c r="G135" s="52">
        <v>7.1</v>
      </c>
      <c r="H135" s="54">
        <f t="shared" si="2"/>
        <v>0.5030849105</v>
      </c>
      <c r="I135" s="52">
        <v>4.6</v>
      </c>
      <c r="J135" s="54">
        <f t="shared" si="3"/>
        <v>0.476712729</v>
      </c>
      <c r="K135" s="55">
        <v>3.603658537</v>
      </c>
      <c r="L135" s="54">
        <f t="shared" si="4"/>
        <v>0.2444863193</v>
      </c>
      <c r="M135" s="55">
        <v>0.237804878</v>
      </c>
      <c r="N135" s="56">
        <f t="shared" si="5"/>
        <v>0.01574947538</v>
      </c>
      <c r="O135" s="57">
        <v>0.545</v>
      </c>
      <c r="P135" s="24">
        <v>23447.0</v>
      </c>
      <c r="Q135" s="24">
        <v>5603.0</v>
      </c>
      <c r="R135" s="24">
        <v>9629.0</v>
      </c>
      <c r="S135" s="24">
        <v>305.0</v>
      </c>
      <c r="T135" s="24">
        <v>2578.0</v>
      </c>
      <c r="U135" s="24">
        <v>16.5703</v>
      </c>
      <c r="V135" s="24">
        <v>3.9597</v>
      </c>
      <c r="W135" s="24">
        <v>6.8049</v>
      </c>
      <c r="X135" s="24">
        <v>0.2155</v>
      </c>
      <c r="Y135" s="24">
        <v>1.8219</v>
      </c>
      <c r="Z135" s="24">
        <v>96.9</v>
      </c>
      <c r="AA135" s="24">
        <v>22.0</v>
      </c>
      <c r="AB135" s="24">
        <v>4.9</v>
      </c>
      <c r="AC135" s="24">
        <v>41.1</v>
      </c>
      <c r="AD135" s="24">
        <v>8.2</v>
      </c>
      <c r="AE135" s="24">
        <v>1.226</v>
      </c>
      <c r="AF135" s="24">
        <v>1.788321</v>
      </c>
      <c r="AG135" s="24">
        <v>1.170732</v>
      </c>
      <c r="AH135" s="24">
        <v>1.142857</v>
      </c>
      <c r="AI135" s="24">
        <v>1.222727</v>
      </c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</row>
    <row r="136">
      <c r="A136" s="51" t="s">
        <v>57</v>
      </c>
      <c r="B136" s="51" t="s">
        <v>104</v>
      </c>
      <c r="C136" s="24">
        <v>1998.0</v>
      </c>
      <c r="D136" s="24">
        <v>0.05795</v>
      </c>
      <c r="E136" s="52">
        <v>19.2</v>
      </c>
      <c r="F136" s="53">
        <f t="shared" si="1"/>
        <v>1.382677728</v>
      </c>
      <c r="G136" s="52">
        <v>8.3</v>
      </c>
      <c r="H136" s="54">
        <f t="shared" si="2"/>
        <v>0.5881133461</v>
      </c>
      <c r="I136" s="52">
        <v>4.6</v>
      </c>
      <c r="J136" s="54">
        <f t="shared" si="3"/>
        <v>0.4721178619</v>
      </c>
      <c r="K136" s="55">
        <v>3.384146341</v>
      </c>
      <c r="L136" s="54">
        <f t="shared" si="4"/>
        <v>0.2241271497</v>
      </c>
      <c r="M136" s="55">
        <v>0.329268293</v>
      </c>
      <c r="N136" s="56">
        <f t="shared" si="5"/>
        <v>0.0209517893</v>
      </c>
      <c r="O136" s="57">
        <v>0.544</v>
      </c>
      <c r="P136" s="24">
        <v>23447.0</v>
      </c>
      <c r="Q136" s="24">
        <v>5603.0</v>
      </c>
      <c r="R136" s="24">
        <v>9629.0</v>
      </c>
      <c r="S136" s="24">
        <v>305.0</v>
      </c>
      <c r="T136" s="24">
        <v>2578.0</v>
      </c>
      <c r="U136" s="24">
        <v>16.5703</v>
      </c>
      <c r="V136" s="24">
        <v>3.9597</v>
      </c>
      <c r="W136" s="24">
        <v>6.8049</v>
      </c>
      <c r="X136" s="24">
        <v>0.2155</v>
      </c>
      <c r="Y136" s="24">
        <v>1.8219</v>
      </c>
      <c r="Z136" s="24">
        <v>95.6</v>
      </c>
      <c r="AA136" s="24">
        <v>22.0</v>
      </c>
      <c r="AB136" s="24">
        <v>5.1</v>
      </c>
      <c r="AC136" s="24">
        <v>41.5</v>
      </c>
      <c r="AD136" s="24">
        <v>8.4</v>
      </c>
      <c r="AE136" s="24">
        <v>1.2427</v>
      </c>
      <c r="AF136" s="24">
        <v>1.771084</v>
      </c>
      <c r="AG136" s="24">
        <v>1.142857</v>
      </c>
      <c r="AH136" s="24">
        <v>1.098039</v>
      </c>
      <c r="AI136" s="24">
        <v>1.222727</v>
      </c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</row>
    <row r="137">
      <c r="A137" s="51" t="s">
        <v>57</v>
      </c>
      <c r="B137" s="51" t="s">
        <v>104</v>
      </c>
      <c r="C137" s="24">
        <v>1999.0</v>
      </c>
      <c r="D137" s="24">
        <v>0.03534</v>
      </c>
      <c r="E137" s="52">
        <v>21.7</v>
      </c>
      <c r="F137" s="53">
        <f t="shared" si="1"/>
        <v>0.9945640782</v>
      </c>
      <c r="G137" s="52">
        <v>8.7</v>
      </c>
      <c r="H137" s="54">
        <f t="shared" si="2"/>
        <v>0.3995468978</v>
      </c>
      <c r="I137" s="52">
        <v>4.9</v>
      </c>
      <c r="J137" s="54">
        <f t="shared" si="3"/>
        <v>0.3052206599</v>
      </c>
      <c r="K137" s="55">
        <v>3.27</v>
      </c>
      <c r="L137" s="54">
        <f t="shared" si="4"/>
        <v>0.1320706121</v>
      </c>
      <c r="M137" s="55">
        <v>0.36</v>
      </c>
      <c r="N137" s="56">
        <f t="shared" si="5"/>
        <v>0.014249088</v>
      </c>
      <c r="O137" s="57">
        <v>0.519</v>
      </c>
      <c r="P137" s="24">
        <v>23447.0</v>
      </c>
      <c r="Q137" s="24">
        <v>5603.0</v>
      </c>
      <c r="R137" s="24">
        <v>9629.0</v>
      </c>
      <c r="S137" s="24">
        <v>305.0</v>
      </c>
      <c r="T137" s="24">
        <v>2578.0</v>
      </c>
      <c r="U137" s="24">
        <v>16.5703</v>
      </c>
      <c r="V137" s="24">
        <v>3.9597</v>
      </c>
      <c r="W137" s="24">
        <v>6.8049</v>
      </c>
      <c r="X137" s="24">
        <v>0.2155</v>
      </c>
      <c r="Y137" s="24">
        <v>1.8219</v>
      </c>
      <c r="Z137" s="24">
        <v>91.6</v>
      </c>
      <c r="AA137" s="24">
        <v>20.7</v>
      </c>
      <c r="AB137" s="24">
        <v>5.0</v>
      </c>
      <c r="AC137" s="24">
        <v>41.7</v>
      </c>
      <c r="AD137" s="24">
        <v>8.4</v>
      </c>
      <c r="AE137" s="24">
        <v>1.2969</v>
      </c>
      <c r="AF137" s="24">
        <v>1.76259</v>
      </c>
      <c r="AG137" s="24">
        <v>1.142857</v>
      </c>
      <c r="AH137" s="24">
        <v>1.12</v>
      </c>
      <c r="AI137" s="24">
        <v>1.299517</v>
      </c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</row>
    <row r="138">
      <c r="A138" s="51" t="s">
        <v>57</v>
      </c>
      <c r="B138" s="51" t="s">
        <v>104</v>
      </c>
      <c r="C138" s="24">
        <v>2000.0</v>
      </c>
      <c r="D138" s="24">
        <v>0.05795</v>
      </c>
      <c r="E138" s="52">
        <v>24.2</v>
      </c>
      <c r="F138" s="53">
        <f t="shared" si="1"/>
        <v>1.708812215</v>
      </c>
      <c r="G138" s="52">
        <v>8.9</v>
      </c>
      <c r="H138" s="54">
        <f t="shared" si="2"/>
        <v>0.6221439099</v>
      </c>
      <c r="I138" s="52">
        <v>6.5</v>
      </c>
      <c r="J138" s="54">
        <f t="shared" si="3"/>
        <v>0.6453523807</v>
      </c>
      <c r="K138" s="55">
        <v>2.798780488</v>
      </c>
      <c r="L138" s="54">
        <f t="shared" si="4"/>
        <v>0.197090851</v>
      </c>
      <c r="M138" s="55">
        <v>0.329268293</v>
      </c>
      <c r="N138" s="56">
        <f t="shared" si="5"/>
        <v>0.02054887285</v>
      </c>
      <c r="O138" s="57">
        <v>0.535</v>
      </c>
      <c r="P138" s="24">
        <v>23447.0</v>
      </c>
      <c r="Q138" s="24">
        <v>5603.0</v>
      </c>
      <c r="R138" s="24">
        <v>9629.0</v>
      </c>
      <c r="S138" s="24">
        <v>305.0</v>
      </c>
      <c r="T138" s="24">
        <v>2578.0</v>
      </c>
      <c r="U138" s="24">
        <v>16.5703</v>
      </c>
      <c r="V138" s="24">
        <v>3.9597</v>
      </c>
      <c r="W138" s="24">
        <v>6.8049</v>
      </c>
      <c r="X138" s="24">
        <v>0.2155</v>
      </c>
      <c r="Y138" s="24">
        <v>1.8219</v>
      </c>
      <c r="Z138" s="24">
        <v>97.5</v>
      </c>
      <c r="AA138" s="24">
        <v>22.3</v>
      </c>
      <c r="AB138" s="24">
        <v>5.2</v>
      </c>
      <c r="AC138" s="24">
        <v>42.9</v>
      </c>
      <c r="AD138" s="24">
        <v>7.9</v>
      </c>
      <c r="AE138" s="24">
        <v>1.2185</v>
      </c>
      <c r="AF138" s="24">
        <v>1.713287</v>
      </c>
      <c r="AG138" s="24">
        <v>1.21519</v>
      </c>
      <c r="AH138" s="24">
        <v>1.076923</v>
      </c>
      <c r="AI138" s="24">
        <v>1.206278</v>
      </c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</row>
    <row r="139">
      <c r="A139" s="51" t="s">
        <v>57</v>
      </c>
      <c r="B139" s="51" t="s">
        <v>104</v>
      </c>
      <c r="C139" s="24">
        <v>2001.0</v>
      </c>
      <c r="D139" s="24">
        <v>0.05583</v>
      </c>
      <c r="E139" s="52">
        <v>23.1</v>
      </c>
      <c r="F139" s="53">
        <f t="shared" si="1"/>
        <v>1.616218204</v>
      </c>
      <c r="G139" s="52">
        <v>8.1</v>
      </c>
      <c r="H139" s="54">
        <f t="shared" si="2"/>
        <v>0.5580183097</v>
      </c>
      <c r="I139" s="52">
        <v>4.6</v>
      </c>
      <c r="J139" s="54">
        <f t="shared" si="3"/>
        <v>0.444144131</v>
      </c>
      <c r="K139" s="55">
        <v>2.411392405</v>
      </c>
      <c r="L139" s="54">
        <f t="shared" si="4"/>
        <v>0.1656960157</v>
      </c>
      <c r="M139" s="55">
        <v>0.493670886</v>
      </c>
      <c r="N139" s="56">
        <f t="shared" si="5"/>
        <v>0.02912174495</v>
      </c>
      <c r="O139" s="57">
        <v>0.522</v>
      </c>
      <c r="P139" s="24">
        <v>23447.0</v>
      </c>
      <c r="Q139" s="24">
        <v>5603.0</v>
      </c>
      <c r="R139" s="24">
        <v>9629.0</v>
      </c>
      <c r="S139" s="24">
        <v>305.0</v>
      </c>
      <c r="T139" s="24">
        <v>2578.0</v>
      </c>
      <c r="U139" s="24">
        <v>16.5703</v>
      </c>
      <c r="V139" s="24">
        <v>3.9597</v>
      </c>
      <c r="W139" s="24">
        <v>6.8049</v>
      </c>
      <c r="X139" s="24">
        <v>0.2155</v>
      </c>
      <c r="Y139" s="24">
        <v>1.8219</v>
      </c>
      <c r="Z139" s="24">
        <v>94.8</v>
      </c>
      <c r="AA139" s="24">
        <v>21.8</v>
      </c>
      <c r="AB139" s="24">
        <v>5.3</v>
      </c>
      <c r="AC139" s="24">
        <v>42.5</v>
      </c>
      <c r="AD139" s="24">
        <v>7.8</v>
      </c>
      <c r="AE139" s="24">
        <v>1.2532</v>
      </c>
      <c r="AF139" s="24">
        <v>1.729412</v>
      </c>
      <c r="AG139" s="24">
        <v>1.230769</v>
      </c>
      <c r="AH139" s="24">
        <v>1.056604</v>
      </c>
      <c r="AI139" s="24">
        <v>1.233945</v>
      </c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</row>
    <row r="140">
      <c r="A140" s="51" t="s">
        <v>57</v>
      </c>
      <c r="B140" s="51" t="s">
        <v>104</v>
      </c>
      <c r="C140" s="24">
        <v>2002.0</v>
      </c>
      <c r="D140" s="24">
        <v>0.05795</v>
      </c>
      <c r="E140" s="52">
        <v>22.1</v>
      </c>
      <c r="F140" s="53">
        <f t="shared" si="1"/>
        <v>1.59318458</v>
      </c>
      <c r="G140" s="52">
        <v>9.0</v>
      </c>
      <c r="H140" s="54">
        <f t="shared" si="2"/>
        <v>0.6406256021</v>
      </c>
      <c r="I140" s="52">
        <v>4.8</v>
      </c>
      <c r="J140" s="54">
        <f t="shared" si="3"/>
        <v>0.4821878566</v>
      </c>
      <c r="K140" s="55">
        <v>2.396341463</v>
      </c>
      <c r="L140" s="54">
        <f t="shared" si="4"/>
        <v>0.1709144145</v>
      </c>
      <c r="M140" s="55">
        <v>0.475609756</v>
      </c>
      <c r="N140" s="56">
        <f t="shared" si="5"/>
        <v>0.02968170519</v>
      </c>
      <c r="O140" s="57">
        <v>0.526</v>
      </c>
      <c r="P140" s="24">
        <v>23447.0</v>
      </c>
      <c r="Q140" s="24">
        <v>5603.0</v>
      </c>
      <c r="R140" s="24">
        <v>9629.0</v>
      </c>
      <c r="S140" s="24">
        <v>305.0</v>
      </c>
      <c r="T140" s="24">
        <v>2578.0</v>
      </c>
      <c r="U140" s="24">
        <v>16.5703</v>
      </c>
      <c r="V140" s="24">
        <v>3.9597</v>
      </c>
      <c r="W140" s="24">
        <v>6.8049</v>
      </c>
      <c r="X140" s="24">
        <v>0.2155</v>
      </c>
      <c r="Y140" s="24">
        <v>1.8219</v>
      </c>
      <c r="Z140" s="24">
        <v>95.5</v>
      </c>
      <c r="AA140" s="24">
        <v>21.9</v>
      </c>
      <c r="AB140" s="24">
        <v>5.2</v>
      </c>
      <c r="AC140" s="24">
        <v>42.4</v>
      </c>
      <c r="AD140" s="24">
        <v>7.8</v>
      </c>
      <c r="AE140" s="24">
        <v>1.244</v>
      </c>
      <c r="AF140" s="24">
        <v>1.733491</v>
      </c>
      <c r="AG140" s="24">
        <v>1.230769</v>
      </c>
      <c r="AH140" s="24">
        <v>1.076923</v>
      </c>
      <c r="AI140" s="24">
        <v>1.228311</v>
      </c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</row>
    <row r="141">
      <c r="A141" s="51" t="s">
        <v>57</v>
      </c>
      <c r="B141" s="51" t="s">
        <v>104</v>
      </c>
      <c r="C141" s="24">
        <v>2003.0</v>
      </c>
      <c r="D141" s="24">
        <v>0.11307</v>
      </c>
      <c r="E141" s="52">
        <v>20.267</v>
      </c>
      <c r="F141" s="53">
        <f t="shared" si="1"/>
        <v>2.862653841</v>
      </c>
      <c r="G141" s="52">
        <v>8.167</v>
      </c>
      <c r="H141" s="54">
        <f t="shared" si="2"/>
        <v>1.155377326</v>
      </c>
      <c r="I141" s="52">
        <v>4.033</v>
      </c>
      <c r="J141" s="54">
        <f t="shared" si="3"/>
        <v>0.7923602361</v>
      </c>
      <c r="K141" s="55">
        <v>1.6625</v>
      </c>
      <c r="L141" s="54">
        <f t="shared" si="4"/>
        <v>0.2284300491</v>
      </c>
      <c r="M141" s="55">
        <v>0.25</v>
      </c>
      <c r="N141" s="56">
        <f t="shared" si="5"/>
        <v>0.0316596</v>
      </c>
      <c r="O141" s="57">
        <v>0.507</v>
      </c>
      <c r="P141" s="24">
        <v>23447.0</v>
      </c>
      <c r="Q141" s="24">
        <v>5603.0</v>
      </c>
      <c r="R141" s="24">
        <v>9629.0</v>
      </c>
      <c r="S141" s="24">
        <v>305.0</v>
      </c>
      <c r="T141" s="24">
        <v>2578.0</v>
      </c>
      <c r="U141" s="24">
        <v>16.5703</v>
      </c>
      <c r="V141" s="24">
        <v>3.9597</v>
      </c>
      <c r="W141" s="24">
        <v>6.8049</v>
      </c>
      <c r="X141" s="24">
        <v>0.2155</v>
      </c>
      <c r="Y141" s="24">
        <v>1.8219</v>
      </c>
      <c r="Z141" s="24">
        <v>95.1</v>
      </c>
      <c r="AA141" s="24">
        <v>21.5</v>
      </c>
      <c r="AB141" s="24">
        <v>5.0</v>
      </c>
      <c r="AC141" s="24">
        <v>42.3</v>
      </c>
      <c r="AD141" s="24">
        <v>7.9</v>
      </c>
      <c r="AE141" s="24">
        <v>1.2492</v>
      </c>
      <c r="AF141" s="24">
        <v>1.737589</v>
      </c>
      <c r="AG141" s="24">
        <v>1.21519</v>
      </c>
      <c r="AH141" s="24">
        <v>1.12</v>
      </c>
      <c r="AI141" s="24">
        <v>1.251163</v>
      </c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</row>
    <row r="142">
      <c r="A142" s="51" t="s">
        <v>57</v>
      </c>
      <c r="B142" s="51" t="s">
        <v>104</v>
      </c>
      <c r="C142" s="24">
        <v>2004.0</v>
      </c>
      <c r="D142" s="24">
        <v>0.05795</v>
      </c>
      <c r="E142" s="52">
        <v>14.6</v>
      </c>
      <c r="F142" s="53">
        <f t="shared" si="1"/>
        <v>1.076116433</v>
      </c>
      <c r="G142" s="52">
        <v>5.5</v>
      </c>
      <c r="H142" s="54">
        <f t="shared" si="2"/>
        <v>0.4025213085</v>
      </c>
      <c r="I142" s="52">
        <v>4.2</v>
      </c>
      <c r="J142" s="54">
        <f t="shared" si="3"/>
        <v>0.4239138233</v>
      </c>
      <c r="K142" s="55">
        <v>1.756097561</v>
      </c>
      <c r="L142" s="54">
        <f t="shared" si="4"/>
        <v>0.1236648477</v>
      </c>
      <c r="M142" s="55">
        <v>0.347560976</v>
      </c>
      <c r="N142" s="56">
        <f t="shared" si="5"/>
        <v>0.0221157776</v>
      </c>
      <c r="O142" s="57">
        <v>0.528</v>
      </c>
      <c r="P142" s="24">
        <v>23447.0</v>
      </c>
      <c r="Q142" s="24">
        <v>5603.0</v>
      </c>
      <c r="R142" s="24">
        <v>9629.0</v>
      </c>
      <c r="S142" s="24">
        <v>305.0</v>
      </c>
      <c r="T142" s="24">
        <v>2578.0</v>
      </c>
      <c r="U142" s="24">
        <v>16.5703</v>
      </c>
      <c r="V142" s="24">
        <v>3.9597</v>
      </c>
      <c r="W142" s="24">
        <v>6.8049</v>
      </c>
      <c r="X142" s="24">
        <v>0.2155</v>
      </c>
      <c r="Y142" s="24">
        <v>1.8219</v>
      </c>
      <c r="Z142" s="24">
        <v>93.4</v>
      </c>
      <c r="AA142" s="24">
        <v>21.3</v>
      </c>
      <c r="AB142" s="24">
        <v>5.1</v>
      </c>
      <c r="AC142" s="24">
        <v>42.2</v>
      </c>
      <c r="AD142" s="24">
        <v>7.9</v>
      </c>
      <c r="AE142" s="24">
        <v>1.2719</v>
      </c>
      <c r="AF142" s="24">
        <v>1.741706</v>
      </c>
      <c r="AG142" s="24">
        <v>1.21519</v>
      </c>
      <c r="AH142" s="24">
        <v>1.098039</v>
      </c>
      <c r="AI142" s="24">
        <v>1.262911</v>
      </c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</row>
    <row r="143">
      <c r="A143" s="51" t="s">
        <v>57</v>
      </c>
      <c r="B143" s="51" t="s">
        <v>104</v>
      </c>
      <c r="C143" s="24">
        <v>2005.0</v>
      </c>
      <c r="D143" s="24">
        <v>0.05442</v>
      </c>
      <c r="E143" s="52">
        <v>11.3</v>
      </c>
      <c r="F143" s="53">
        <f t="shared" si="1"/>
        <v>0.7515870012</v>
      </c>
      <c r="G143" s="52">
        <v>6.1</v>
      </c>
      <c r="H143" s="54">
        <f t="shared" si="2"/>
        <v>0.4192384614</v>
      </c>
      <c r="I143" s="52">
        <v>3.1</v>
      </c>
      <c r="J143" s="54">
        <f t="shared" si="3"/>
        <v>0.2959331683</v>
      </c>
      <c r="K143" s="55">
        <v>1.714285714</v>
      </c>
      <c r="L143" s="54">
        <f t="shared" si="4"/>
        <v>0.1194130286</v>
      </c>
      <c r="M143" s="55">
        <v>0.233766234</v>
      </c>
      <c r="N143" s="56">
        <f t="shared" si="5"/>
        <v>0.01453892213</v>
      </c>
      <c r="O143" s="57">
        <v>0.537</v>
      </c>
      <c r="P143" s="24">
        <v>23447.0</v>
      </c>
      <c r="Q143" s="24">
        <v>5603.0</v>
      </c>
      <c r="R143" s="24">
        <v>9629.0</v>
      </c>
      <c r="S143" s="24">
        <v>305.0</v>
      </c>
      <c r="T143" s="24">
        <v>2578.0</v>
      </c>
      <c r="U143" s="24">
        <v>16.5703</v>
      </c>
      <c r="V143" s="24">
        <v>3.9597</v>
      </c>
      <c r="W143" s="24">
        <v>6.8049</v>
      </c>
      <c r="X143" s="24">
        <v>0.2155</v>
      </c>
      <c r="Y143" s="24">
        <v>1.8219</v>
      </c>
      <c r="Z143" s="24">
        <v>97.2</v>
      </c>
      <c r="AA143" s="24">
        <v>21.3</v>
      </c>
      <c r="AB143" s="24">
        <v>4.9</v>
      </c>
      <c r="AC143" s="24">
        <v>41.9</v>
      </c>
      <c r="AD143" s="24">
        <v>7.5</v>
      </c>
      <c r="AE143" s="24">
        <v>1.2222</v>
      </c>
      <c r="AF143" s="24">
        <v>1.754177</v>
      </c>
      <c r="AG143" s="24">
        <v>1.28</v>
      </c>
      <c r="AH143" s="24">
        <v>1.142857</v>
      </c>
      <c r="AI143" s="24">
        <v>1.262911</v>
      </c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</row>
    <row r="144">
      <c r="A144" s="51" t="s">
        <v>57</v>
      </c>
      <c r="B144" s="51" t="s">
        <v>104</v>
      </c>
      <c r="C144" s="24">
        <v>2006.0</v>
      </c>
      <c r="D144" s="24">
        <v>0.05724</v>
      </c>
      <c r="E144" s="52">
        <v>7.7</v>
      </c>
      <c r="F144" s="53">
        <f t="shared" si="1"/>
        <v>0.5397840756</v>
      </c>
      <c r="G144" s="52">
        <v>3.2</v>
      </c>
      <c r="H144" s="54">
        <f t="shared" si="2"/>
        <v>0.2391853536</v>
      </c>
      <c r="I144" s="52">
        <v>2.9</v>
      </c>
      <c r="J144" s="54">
        <f t="shared" si="3"/>
        <v>0.2975782073</v>
      </c>
      <c r="K144" s="55">
        <v>1.314814815</v>
      </c>
      <c r="L144" s="54">
        <f t="shared" si="4"/>
        <v>0.1003466416</v>
      </c>
      <c r="M144" s="55">
        <v>0.185185185</v>
      </c>
      <c r="N144" s="56">
        <f t="shared" si="5"/>
        <v>0.01262978339</v>
      </c>
      <c r="O144" s="57">
        <v>0.52</v>
      </c>
      <c r="P144" s="24">
        <v>23447.0</v>
      </c>
      <c r="Q144" s="24">
        <v>5603.0</v>
      </c>
      <c r="R144" s="24">
        <v>9629.0</v>
      </c>
      <c r="S144" s="24">
        <v>305.0</v>
      </c>
      <c r="T144" s="24">
        <v>2578.0</v>
      </c>
      <c r="U144" s="24">
        <v>16.5703</v>
      </c>
      <c r="V144" s="24">
        <v>3.9597</v>
      </c>
      <c r="W144" s="24">
        <v>6.8049</v>
      </c>
      <c r="X144" s="24">
        <v>0.2155</v>
      </c>
      <c r="Y144" s="24">
        <v>1.8219</v>
      </c>
      <c r="Z144" s="24">
        <v>97.0</v>
      </c>
      <c r="AA144" s="24">
        <v>20.6</v>
      </c>
      <c r="AB144" s="24">
        <v>4.7</v>
      </c>
      <c r="AC144" s="24">
        <v>41.0</v>
      </c>
      <c r="AD144" s="24">
        <v>7.2</v>
      </c>
      <c r="AE144" s="24">
        <v>1.2247</v>
      </c>
      <c r="AF144" s="24">
        <v>1.792683</v>
      </c>
      <c r="AG144" s="24">
        <v>1.333333</v>
      </c>
      <c r="AH144" s="24">
        <v>1.191489</v>
      </c>
      <c r="AI144" s="24">
        <v>1.305825</v>
      </c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</row>
    <row r="145">
      <c r="A145" s="51" t="s">
        <v>57</v>
      </c>
      <c r="B145" s="51" t="s">
        <v>104</v>
      </c>
      <c r="C145" s="24">
        <v>2007.0</v>
      </c>
      <c r="D145" s="24">
        <v>0.04806</v>
      </c>
      <c r="E145" s="52">
        <v>5.3</v>
      </c>
      <c r="F145" s="53">
        <f t="shared" si="1"/>
        <v>0.3065785848</v>
      </c>
      <c r="G145" s="52">
        <v>3.0</v>
      </c>
      <c r="H145" s="54">
        <f t="shared" si="2"/>
        <v>0.182086508</v>
      </c>
      <c r="I145" s="52">
        <v>1.9</v>
      </c>
      <c r="J145" s="54">
        <f t="shared" si="3"/>
        <v>0.1632987438</v>
      </c>
      <c r="K145" s="55">
        <v>0.948529412</v>
      </c>
      <c r="L145" s="54">
        <f t="shared" si="4"/>
        <v>0.06078174953</v>
      </c>
      <c r="M145" s="55">
        <v>0.066176471</v>
      </c>
      <c r="N145" s="56">
        <f t="shared" si="5"/>
        <v>0.003871840488</v>
      </c>
      <c r="O145" s="57">
        <v>0.458</v>
      </c>
      <c r="P145" s="24">
        <v>23447.0</v>
      </c>
      <c r="Q145" s="24">
        <v>5603.0</v>
      </c>
      <c r="R145" s="24">
        <v>9629.0</v>
      </c>
      <c r="S145" s="24">
        <v>305.0</v>
      </c>
      <c r="T145" s="24">
        <v>2578.0</v>
      </c>
      <c r="U145" s="24">
        <v>16.5703</v>
      </c>
      <c r="V145" s="24">
        <v>3.9597</v>
      </c>
      <c r="W145" s="24">
        <v>6.8049</v>
      </c>
      <c r="X145" s="24">
        <v>0.2155</v>
      </c>
      <c r="Y145" s="24">
        <v>1.8219</v>
      </c>
      <c r="Z145" s="24">
        <v>98.7</v>
      </c>
      <c r="AA145" s="24">
        <v>21.3</v>
      </c>
      <c r="AB145" s="24">
        <v>4.6</v>
      </c>
      <c r="AC145" s="24">
        <v>41.1</v>
      </c>
      <c r="AD145" s="24">
        <v>7.2</v>
      </c>
      <c r="AE145" s="24">
        <v>1.2036</v>
      </c>
      <c r="AF145" s="24">
        <v>1.788321</v>
      </c>
      <c r="AG145" s="24">
        <v>1.333333</v>
      </c>
      <c r="AH145" s="24">
        <v>1.217391</v>
      </c>
      <c r="AI145" s="24">
        <v>1.262911</v>
      </c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</row>
    <row r="146">
      <c r="A146" s="51" t="s">
        <v>49</v>
      </c>
      <c r="B146" s="51" t="s">
        <v>107</v>
      </c>
      <c r="C146" s="24">
        <v>1985.0</v>
      </c>
      <c r="D146" s="24">
        <v>0.06624</v>
      </c>
      <c r="E146" s="52">
        <v>20.6</v>
      </c>
      <c r="F146" s="53">
        <f t="shared" si="1"/>
        <v>1.463064077</v>
      </c>
      <c r="G146" s="52">
        <v>1.4</v>
      </c>
      <c r="H146" s="54">
        <f t="shared" si="2"/>
        <v>0.0948516791</v>
      </c>
      <c r="I146" s="52">
        <v>11.9</v>
      </c>
      <c r="J146" s="54">
        <f t="shared" si="3"/>
        <v>1.331880692</v>
      </c>
      <c r="K146" s="55">
        <v>1.81097561</v>
      </c>
      <c r="L146" s="54">
        <f t="shared" si="4"/>
        <v>0.1354831617</v>
      </c>
      <c r="M146" s="55">
        <v>4.024390244</v>
      </c>
      <c r="N146" s="56">
        <f t="shared" si="5"/>
        <v>0.2816648556</v>
      </c>
      <c r="O146" s="57">
        <v>0.564</v>
      </c>
      <c r="P146" s="24">
        <v>26946.0</v>
      </c>
      <c r="Q146" s="24">
        <v>13748.0</v>
      </c>
      <c r="R146" s="24">
        <v>3058.0</v>
      </c>
      <c r="S146" s="24">
        <v>3830.0</v>
      </c>
      <c r="T146" s="24">
        <v>2162.0</v>
      </c>
      <c r="U146" s="24">
        <v>21.7658</v>
      </c>
      <c r="V146" s="24">
        <v>11.105</v>
      </c>
      <c r="W146" s="24">
        <v>2.4701</v>
      </c>
      <c r="X146" s="24">
        <v>3.0937</v>
      </c>
      <c r="Y146" s="24">
        <v>1.7464</v>
      </c>
      <c r="Z146" s="24">
        <v>110.8</v>
      </c>
      <c r="AA146" s="24">
        <v>26.3</v>
      </c>
      <c r="AB146" s="24">
        <v>5.3</v>
      </c>
      <c r="AC146" s="24">
        <v>43.5</v>
      </c>
      <c r="AD146" s="24">
        <v>8.5</v>
      </c>
      <c r="AE146" s="24">
        <v>1.0722</v>
      </c>
      <c r="AF146" s="24">
        <v>1.689655</v>
      </c>
      <c r="AG146" s="24">
        <v>1.129412</v>
      </c>
      <c r="AH146" s="24">
        <v>1.056604</v>
      </c>
      <c r="AI146" s="24">
        <v>1.022814</v>
      </c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</row>
    <row r="147">
      <c r="A147" s="51" t="s">
        <v>49</v>
      </c>
      <c r="B147" s="51" t="s">
        <v>107</v>
      </c>
      <c r="C147" s="24">
        <v>1986.0</v>
      </c>
      <c r="D147" s="24">
        <v>0.05493</v>
      </c>
      <c r="E147" s="52">
        <v>23.5</v>
      </c>
      <c r="F147" s="53">
        <f t="shared" si="1"/>
        <v>1.39154169</v>
      </c>
      <c r="G147" s="52">
        <v>2.0</v>
      </c>
      <c r="H147" s="54">
        <f t="shared" si="2"/>
        <v>0.1136628039</v>
      </c>
      <c r="I147" s="52">
        <v>11.5</v>
      </c>
      <c r="J147" s="54">
        <f t="shared" si="3"/>
        <v>1.064898797</v>
      </c>
      <c r="K147" s="55">
        <v>2.955882353</v>
      </c>
      <c r="L147" s="54">
        <f t="shared" si="4"/>
        <v>0.1771272045</v>
      </c>
      <c r="M147" s="55">
        <v>5.095588235</v>
      </c>
      <c r="N147" s="56">
        <f t="shared" si="5"/>
        <v>0.2957441588</v>
      </c>
      <c r="O147" s="57">
        <v>0.56</v>
      </c>
      <c r="P147" s="24">
        <v>26946.0</v>
      </c>
      <c r="Q147" s="24">
        <v>13748.0</v>
      </c>
      <c r="R147" s="24">
        <v>3058.0</v>
      </c>
      <c r="S147" s="24">
        <v>3830.0</v>
      </c>
      <c r="T147" s="24">
        <v>2162.0</v>
      </c>
      <c r="U147" s="24">
        <v>21.7658</v>
      </c>
      <c r="V147" s="24">
        <v>11.105</v>
      </c>
      <c r="W147" s="24">
        <v>2.4701</v>
      </c>
      <c r="X147" s="24">
        <v>3.0937</v>
      </c>
      <c r="Y147" s="24">
        <v>1.7464</v>
      </c>
      <c r="Z147" s="24">
        <v>110.2</v>
      </c>
      <c r="AA147" s="24">
        <v>26.0</v>
      </c>
      <c r="AB147" s="24">
        <v>5.3</v>
      </c>
      <c r="AC147" s="24">
        <v>43.6</v>
      </c>
      <c r="AD147" s="24">
        <v>8.8</v>
      </c>
      <c r="AE147" s="24">
        <v>1.078</v>
      </c>
      <c r="AF147" s="24">
        <v>1.68578</v>
      </c>
      <c r="AG147" s="24">
        <v>1.090909</v>
      </c>
      <c r="AH147" s="24">
        <v>1.056604</v>
      </c>
      <c r="AI147" s="24">
        <v>1.034615</v>
      </c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</row>
    <row r="148">
      <c r="A148" s="51" t="s">
        <v>49</v>
      </c>
      <c r="B148" s="51" t="s">
        <v>107</v>
      </c>
      <c r="C148" s="24">
        <v>1987.0</v>
      </c>
      <c r="D148" s="24">
        <v>0.06058</v>
      </c>
      <c r="E148" s="52">
        <v>23.4</v>
      </c>
      <c r="F148" s="53">
        <f t="shared" si="1"/>
        <v>1.532395332</v>
      </c>
      <c r="G148" s="52">
        <v>2.9</v>
      </c>
      <c r="H148" s="54">
        <f t="shared" si="2"/>
        <v>0.1817632324</v>
      </c>
      <c r="I148" s="52">
        <v>11.4</v>
      </c>
      <c r="J148" s="54">
        <f t="shared" si="3"/>
        <v>1.153636268</v>
      </c>
      <c r="K148" s="55">
        <v>2.8</v>
      </c>
      <c r="L148" s="54">
        <f t="shared" si="4"/>
        <v>0.1893477091</v>
      </c>
      <c r="M148" s="55">
        <v>5.08</v>
      </c>
      <c r="N148" s="56">
        <f t="shared" si="5"/>
        <v>0.313341845</v>
      </c>
      <c r="O148" s="57">
        <v>0.554</v>
      </c>
      <c r="P148" s="24">
        <v>26946.0</v>
      </c>
      <c r="Q148" s="24">
        <v>13748.0</v>
      </c>
      <c r="R148" s="24">
        <v>3058.0</v>
      </c>
      <c r="S148" s="24">
        <v>3830.0</v>
      </c>
      <c r="T148" s="24">
        <v>2162.0</v>
      </c>
      <c r="U148" s="24">
        <v>21.7658</v>
      </c>
      <c r="V148" s="24">
        <v>11.105</v>
      </c>
      <c r="W148" s="24">
        <v>2.4701</v>
      </c>
      <c r="X148" s="24">
        <v>3.0937</v>
      </c>
      <c r="Y148" s="24">
        <v>1.7464</v>
      </c>
      <c r="Z148" s="24">
        <v>109.9</v>
      </c>
      <c r="AA148" s="24">
        <v>26.0</v>
      </c>
      <c r="AB148" s="24">
        <v>5.5</v>
      </c>
      <c r="AC148" s="24">
        <v>44.0</v>
      </c>
      <c r="AD148" s="24">
        <v>8.6</v>
      </c>
      <c r="AE148" s="24">
        <v>1.081</v>
      </c>
      <c r="AF148" s="24">
        <v>1.670455</v>
      </c>
      <c r="AG148" s="24">
        <v>1.116279</v>
      </c>
      <c r="AH148" s="24">
        <v>1.018182</v>
      </c>
      <c r="AI148" s="24">
        <v>1.034615</v>
      </c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</row>
    <row r="149">
      <c r="A149" s="51" t="s">
        <v>49</v>
      </c>
      <c r="B149" s="51" t="s">
        <v>107</v>
      </c>
      <c r="C149" s="24">
        <v>1988.0</v>
      </c>
      <c r="D149" s="24">
        <v>0.06381</v>
      </c>
      <c r="E149" s="52">
        <v>22.8</v>
      </c>
      <c r="F149" s="53">
        <f t="shared" si="1"/>
        <v>1.597445064</v>
      </c>
      <c r="G149" s="52">
        <v>2.1</v>
      </c>
      <c r="H149" s="54">
        <f t="shared" si="2"/>
        <v>0.1397142666</v>
      </c>
      <c r="I149" s="52">
        <v>12.1</v>
      </c>
      <c r="J149" s="54">
        <f t="shared" si="3"/>
        <v>1.307590104</v>
      </c>
      <c r="K149" s="55">
        <v>3.075949367</v>
      </c>
      <c r="L149" s="54">
        <f t="shared" si="4"/>
        <v>0.2216768414</v>
      </c>
      <c r="M149" s="55">
        <v>4.063291139</v>
      </c>
      <c r="N149" s="56">
        <f t="shared" si="5"/>
        <v>0.2688815094</v>
      </c>
      <c r="O149" s="57">
        <v>0.555</v>
      </c>
      <c r="P149" s="24">
        <v>26946.0</v>
      </c>
      <c r="Q149" s="24">
        <v>13748.0</v>
      </c>
      <c r="R149" s="24">
        <v>3058.0</v>
      </c>
      <c r="S149" s="24">
        <v>3830.0</v>
      </c>
      <c r="T149" s="24">
        <v>2162.0</v>
      </c>
      <c r="U149" s="24">
        <v>21.7658</v>
      </c>
      <c r="V149" s="24">
        <v>11.105</v>
      </c>
      <c r="W149" s="24">
        <v>2.4701</v>
      </c>
      <c r="X149" s="24">
        <v>3.0937</v>
      </c>
      <c r="Y149" s="24">
        <v>1.7464</v>
      </c>
      <c r="Z149" s="24">
        <v>108.2</v>
      </c>
      <c r="AA149" s="24">
        <v>25.8</v>
      </c>
      <c r="AB149" s="24">
        <v>5.4</v>
      </c>
      <c r="AC149" s="24">
        <v>43.4</v>
      </c>
      <c r="AD149" s="24">
        <v>8.5</v>
      </c>
      <c r="AE149" s="24">
        <v>1.098</v>
      </c>
      <c r="AF149" s="24">
        <v>1.693548</v>
      </c>
      <c r="AG149" s="24">
        <v>1.129412</v>
      </c>
      <c r="AH149" s="24">
        <v>1.037037</v>
      </c>
      <c r="AI149" s="24">
        <v>1.042636</v>
      </c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</row>
    <row r="150">
      <c r="A150" s="51" t="s">
        <v>49</v>
      </c>
      <c r="B150" s="51" t="s">
        <v>107</v>
      </c>
      <c r="C150" s="24">
        <v>1989.0</v>
      </c>
      <c r="D150" s="24">
        <v>0.06624</v>
      </c>
      <c r="E150" s="52">
        <v>24.8</v>
      </c>
      <c r="F150" s="53">
        <f t="shared" si="1"/>
        <v>1.787149901</v>
      </c>
      <c r="G150" s="52">
        <v>1.8</v>
      </c>
      <c r="H150" s="54">
        <f t="shared" si="2"/>
        <v>0.1252867202</v>
      </c>
      <c r="I150" s="52">
        <v>13.5</v>
      </c>
      <c r="J150" s="54">
        <f t="shared" si="3"/>
        <v>1.497190262</v>
      </c>
      <c r="K150" s="55">
        <v>3.896341463</v>
      </c>
      <c r="L150" s="54">
        <f t="shared" si="4"/>
        <v>0.2722746146</v>
      </c>
      <c r="M150" s="55">
        <v>5.158536585</v>
      </c>
      <c r="N150" s="56">
        <f t="shared" si="5"/>
        <v>0.361043133</v>
      </c>
      <c r="O150" s="57">
        <v>0.552</v>
      </c>
      <c r="P150" s="24">
        <v>26946.0</v>
      </c>
      <c r="Q150" s="24">
        <v>13748.0</v>
      </c>
      <c r="R150" s="24">
        <v>3058.0</v>
      </c>
      <c r="S150" s="24">
        <v>3830.0</v>
      </c>
      <c r="T150" s="24">
        <v>2162.0</v>
      </c>
      <c r="U150" s="24">
        <v>21.7658</v>
      </c>
      <c r="V150" s="24">
        <v>11.105</v>
      </c>
      <c r="W150" s="24">
        <v>2.4701</v>
      </c>
      <c r="X150" s="24">
        <v>3.0937</v>
      </c>
      <c r="Y150" s="24">
        <v>1.7464</v>
      </c>
      <c r="Z150" s="24">
        <v>109.2</v>
      </c>
      <c r="AA150" s="24">
        <v>25.6</v>
      </c>
      <c r="AB150" s="24">
        <v>5.3</v>
      </c>
      <c r="AC150" s="24">
        <v>43.9</v>
      </c>
      <c r="AD150" s="24">
        <v>9.1</v>
      </c>
      <c r="AE150" s="24">
        <v>1.0879</v>
      </c>
      <c r="AF150" s="24">
        <v>1.67426</v>
      </c>
      <c r="AG150" s="24">
        <v>1.054945</v>
      </c>
      <c r="AH150" s="24">
        <v>1.056604</v>
      </c>
      <c r="AI150" s="24">
        <v>1.050781</v>
      </c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</row>
    <row r="151">
      <c r="A151" s="51" t="s">
        <v>49</v>
      </c>
      <c r="B151" s="51" t="s">
        <v>107</v>
      </c>
      <c r="C151" s="24">
        <v>1990.0</v>
      </c>
      <c r="D151" s="24">
        <v>0.06624</v>
      </c>
      <c r="E151" s="52">
        <v>24.3</v>
      </c>
      <c r="F151" s="53">
        <f t="shared" si="1"/>
        <v>1.78717441</v>
      </c>
      <c r="G151" s="52">
        <v>2.9</v>
      </c>
      <c r="H151" s="54">
        <f t="shared" si="2"/>
        <v>0.2075253428</v>
      </c>
      <c r="I151" s="52">
        <v>14.0</v>
      </c>
      <c r="J151" s="54">
        <f t="shared" si="3"/>
        <v>1.581460393</v>
      </c>
      <c r="K151" s="55">
        <v>3.182926829</v>
      </c>
      <c r="L151" s="54">
        <f t="shared" si="4"/>
        <v>0.2381219205</v>
      </c>
      <c r="M151" s="55">
        <v>6.87804878</v>
      </c>
      <c r="N151" s="56">
        <f t="shared" si="5"/>
        <v>0.5002687109</v>
      </c>
      <c r="O151" s="57">
        <v>0.541</v>
      </c>
      <c r="P151" s="24">
        <v>26946.0</v>
      </c>
      <c r="Q151" s="24">
        <v>13748.0</v>
      </c>
      <c r="R151" s="24">
        <v>3058.0</v>
      </c>
      <c r="S151" s="24">
        <v>3830.0</v>
      </c>
      <c r="T151" s="24">
        <v>2162.0</v>
      </c>
      <c r="U151" s="24">
        <v>21.7658</v>
      </c>
      <c r="V151" s="24">
        <v>11.105</v>
      </c>
      <c r="W151" s="24">
        <v>2.4701</v>
      </c>
      <c r="X151" s="24">
        <v>3.0937</v>
      </c>
      <c r="Y151" s="24">
        <v>1.7464</v>
      </c>
      <c r="Z151" s="24">
        <v>107.0</v>
      </c>
      <c r="AA151" s="24">
        <v>24.9</v>
      </c>
      <c r="AB151" s="24">
        <v>5.1</v>
      </c>
      <c r="AC151" s="24">
        <v>43.1</v>
      </c>
      <c r="AD151" s="24">
        <v>8.5</v>
      </c>
      <c r="AE151" s="24">
        <v>1.1103</v>
      </c>
      <c r="AF151" s="24">
        <v>1.705336</v>
      </c>
      <c r="AG151" s="24">
        <v>1.129412</v>
      </c>
      <c r="AH151" s="24">
        <v>1.098039</v>
      </c>
      <c r="AI151" s="24">
        <v>1.080321</v>
      </c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</row>
    <row r="152">
      <c r="A152" s="51" t="s">
        <v>49</v>
      </c>
      <c r="B152" s="51" t="s">
        <v>107</v>
      </c>
      <c r="C152" s="24">
        <v>1991.0</v>
      </c>
      <c r="D152" s="24">
        <v>0.04523</v>
      </c>
      <c r="E152" s="52">
        <v>21.2</v>
      </c>
      <c r="F152" s="53">
        <f t="shared" si="1"/>
        <v>1.071639818</v>
      </c>
      <c r="G152" s="52">
        <v>2.3</v>
      </c>
      <c r="H152" s="54">
        <f t="shared" si="2"/>
        <v>0.113294759</v>
      </c>
      <c r="I152" s="52">
        <v>13.8</v>
      </c>
      <c r="J152" s="54">
        <f t="shared" si="3"/>
        <v>1.059510398</v>
      </c>
      <c r="K152" s="55">
        <v>3.241071429</v>
      </c>
      <c r="L152" s="54">
        <f t="shared" si="4"/>
        <v>0.163639425</v>
      </c>
      <c r="M152" s="55">
        <v>5.919642857</v>
      </c>
      <c r="N152" s="56">
        <f t="shared" si="5"/>
        <v>0.2829009097</v>
      </c>
      <c r="O152" s="57">
        <v>0.549</v>
      </c>
      <c r="P152" s="24">
        <v>26946.0</v>
      </c>
      <c r="Q152" s="24">
        <v>13748.0</v>
      </c>
      <c r="R152" s="24">
        <v>3058.0</v>
      </c>
      <c r="S152" s="24">
        <v>3830.0</v>
      </c>
      <c r="T152" s="24">
        <v>2162.0</v>
      </c>
      <c r="U152" s="24">
        <v>21.7658</v>
      </c>
      <c r="V152" s="24">
        <v>11.105</v>
      </c>
      <c r="W152" s="24">
        <v>2.4701</v>
      </c>
      <c r="X152" s="24">
        <v>3.0937</v>
      </c>
      <c r="Y152" s="24">
        <v>1.7464</v>
      </c>
      <c r="Z152" s="24">
        <v>106.3</v>
      </c>
      <c r="AA152" s="24">
        <v>24.7</v>
      </c>
      <c r="AB152" s="24">
        <v>5.3</v>
      </c>
      <c r="AC152" s="24">
        <v>43.3</v>
      </c>
      <c r="AD152" s="24">
        <v>8.6</v>
      </c>
      <c r="AE152" s="24">
        <v>1.1176</v>
      </c>
      <c r="AF152" s="24">
        <v>1.69746</v>
      </c>
      <c r="AG152" s="24">
        <v>1.116279</v>
      </c>
      <c r="AH152" s="24">
        <v>1.056604</v>
      </c>
      <c r="AI152" s="24">
        <v>1.089069</v>
      </c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</row>
    <row r="153">
      <c r="A153" s="51" t="s">
        <v>49</v>
      </c>
      <c r="B153" s="51" t="s">
        <v>107</v>
      </c>
      <c r="C153" s="24">
        <v>1992.0</v>
      </c>
      <c r="D153" s="24">
        <v>0.05654</v>
      </c>
      <c r="E153" s="52">
        <v>21.6</v>
      </c>
      <c r="F153" s="53">
        <f t="shared" si="1"/>
        <v>1.377830045</v>
      </c>
      <c r="G153" s="52">
        <v>2.2</v>
      </c>
      <c r="H153" s="54">
        <f t="shared" si="2"/>
        <v>0.1365729241</v>
      </c>
      <c r="I153" s="52">
        <v>12.1</v>
      </c>
      <c r="J153" s="54">
        <f t="shared" si="3"/>
        <v>1.150660026</v>
      </c>
      <c r="K153" s="55">
        <v>2.721428571</v>
      </c>
      <c r="L153" s="54">
        <f t="shared" si="4"/>
        <v>0.1717613713</v>
      </c>
      <c r="M153" s="55">
        <v>6.514285714</v>
      </c>
      <c r="N153" s="56">
        <f t="shared" si="5"/>
        <v>0.375014467</v>
      </c>
      <c r="O153" s="57">
        <v>0.553</v>
      </c>
      <c r="P153" s="24">
        <v>26946.0</v>
      </c>
      <c r="Q153" s="24">
        <v>13748.0</v>
      </c>
      <c r="R153" s="24">
        <v>3058.0</v>
      </c>
      <c r="S153" s="24">
        <v>3830.0</v>
      </c>
      <c r="T153" s="24">
        <v>2162.0</v>
      </c>
      <c r="U153" s="24">
        <v>21.7658</v>
      </c>
      <c r="V153" s="24">
        <v>11.105</v>
      </c>
      <c r="W153" s="24">
        <v>2.4701</v>
      </c>
      <c r="X153" s="24">
        <v>3.0937</v>
      </c>
      <c r="Y153" s="24">
        <v>1.7464</v>
      </c>
      <c r="Z153" s="24">
        <v>105.3</v>
      </c>
      <c r="AA153" s="24">
        <v>24.5</v>
      </c>
      <c r="AB153" s="24">
        <v>5.5</v>
      </c>
      <c r="AC153" s="24">
        <v>43.7</v>
      </c>
      <c r="AD153" s="24">
        <v>8.6</v>
      </c>
      <c r="AE153" s="24">
        <v>1.1282</v>
      </c>
      <c r="AF153" s="24">
        <v>1.681922</v>
      </c>
      <c r="AG153" s="24">
        <v>1.116279</v>
      </c>
      <c r="AH153" s="24">
        <v>1.018182</v>
      </c>
      <c r="AI153" s="24">
        <v>1.097959</v>
      </c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</row>
    <row r="154">
      <c r="A154" s="51" t="s">
        <v>49</v>
      </c>
      <c r="B154" s="51" t="s">
        <v>107</v>
      </c>
      <c r="C154" s="24">
        <v>1993.0</v>
      </c>
      <c r="D154" s="24">
        <v>0.06624</v>
      </c>
      <c r="E154" s="52">
        <v>26.1</v>
      </c>
      <c r="F154" s="53">
        <f t="shared" si="1"/>
        <v>1.950504365</v>
      </c>
      <c r="G154" s="52">
        <v>3.5</v>
      </c>
      <c r="H154" s="54">
        <f t="shared" si="2"/>
        <v>0.252489757</v>
      </c>
      <c r="I154" s="52">
        <v>13.0</v>
      </c>
      <c r="J154" s="54">
        <f t="shared" si="3"/>
        <v>1.468498936</v>
      </c>
      <c r="K154" s="55">
        <v>2.743902439</v>
      </c>
      <c r="L154" s="54">
        <f t="shared" si="4"/>
        <v>0.2028905148</v>
      </c>
      <c r="M154" s="55">
        <v>6.256097561</v>
      </c>
      <c r="N154" s="56">
        <f t="shared" si="5"/>
        <v>0.4462810938</v>
      </c>
      <c r="O154" s="57">
        <v>0.577</v>
      </c>
      <c r="P154" s="24">
        <v>26946.0</v>
      </c>
      <c r="Q154" s="24">
        <v>13748.0</v>
      </c>
      <c r="R154" s="24">
        <v>3058.0</v>
      </c>
      <c r="S154" s="24">
        <v>3830.0</v>
      </c>
      <c r="T154" s="24">
        <v>2162.0</v>
      </c>
      <c r="U154" s="24">
        <v>21.7658</v>
      </c>
      <c r="V154" s="24">
        <v>11.105</v>
      </c>
      <c r="W154" s="24">
        <v>2.4701</v>
      </c>
      <c r="X154" s="24">
        <v>3.0937</v>
      </c>
      <c r="Y154" s="24">
        <v>1.7464</v>
      </c>
      <c r="Z154" s="24">
        <v>105.3</v>
      </c>
      <c r="AA154" s="24">
        <v>24.7</v>
      </c>
      <c r="AB154" s="24">
        <v>5.2</v>
      </c>
      <c r="AC154" s="24">
        <v>43.1</v>
      </c>
      <c r="AD154" s="24">
        <v>8.6</v>
      </c>
      <c r="AE154" s="24">
        <v>1.1282</v>
      </c>
      <c r="AF154" s="24">
        <v>1.705336</v>
      </c>
      <c r="AG154" s="24">
        <v>1.116279</v>
      </c>
      <c r="AH154" s="24">
        <v>1.076923</v>
      </c>
      <c r="AI154" s="24">
        <v>1.089069</v>
      </c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</row>
    <row r="155">
      <c r="A155" s="51" t="s">
        <v>49</v>
      </c>
      <c r="B155" s="51" t="s">
        <v>107</v>
      </c>
      <c r="C155" s="24">
        <v>1994.0</v>
      </c>
      <c r="D155" s="24">
        <v>0.06462</v>
      </c>
      <c r="E155" s="52">
        <v>27.3</v>
      </c>
      <c r="F155" s="53">
        <f t="shared" si="1"/>
        <v>2.06473307</v>
      </c>
      <c r="G155" s="52">
        <v>3.6</v>
      </c>
      <c r="H155" s="54">
        <f t="shared" si="2"/>
        <v>0.2564672421</v>
      </c>
      <c r="I155" s="52">
        <v>11.9</v>
      </c>
      <c r="J155" s="54">
        <f t="shared" si="3"/>
        <v>1.314415633</v>
      </c>
      <c r="K155" s="55">
        <v>2.4</v>
      </c>
      <c r="L155" s="54">
        <f t="shared" si="4"/>
        <v>0.1672859814</v>
      </c>
      <c r="M155" s="55">
        <v>5.56875</v>
      </c>
      <c r="N155" s="56">
        <f t="shared" si="5"/>
        <v>0.3875335685</v>
      </c>
      <c r="O155" s="57">
        <v>0.565</v>
      </c>
      <c r="P155" s="24">
        <v>26946.0</v>
      </c>
      <c r="Q155" s="24">
        <v>13748.0</v>
      </c>
      <c r="R155" s="24">
        <v>3058.0</v>
      </c>
      <c r="S155" s="24">
        <v>3830.0</v>
      </c>
      <c r="T155" s="24">
        <v>2162.0</v>
      </c>
      <c r="U155" s="24">
        <v>21.7658</v>
      </c>
      <c r="V155" s="24">
        <v>11.105</v>
      </c>
      <c r="W155" s="24">
        <v>2.4701</v>
      </c>
      <c r="X155" s="24">
        <v>3.0937</v>
      </c>
      <c r="Y155" s="24">
        <v>1.7464</v>
      </c>
      <c r="Z155" s="24">
        <v>101.5</v>
      </c>
      <c r="AA155" s="24">
        <v>24.4</v>
      </c>
      <c r="AB155" s="24">
        <v>5.2</v>
      </c>
      <c r="AC155" s="24">
        <v>43.0</v>
      </c>
      <c r="AD155" s="24">
        <v>8.9</v>
      </c>
      <c r="AE155" s="24">
        <v>1.1704</v>
      </c>
      <c r="AF155" s="24">
        <v>1.709302</v>
      </c>
      <c r="AG155" s="24">
        <v>1.078652</v>
      </c>
      <c r="AH155" s="24">
        <v>1.076923</v>
      </c>
      <c r="AI155" s="24">
        <v>1.102459</v>
      </c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</row>
    <row r="156">
      <c r="A156" s="51" t="s">
        <v>49</v>
      </c>
      <c r="B156" s="51" t="s">
        <v>107</v>
      </c>
      <c r="C156" s="24">
        <v>1995.0</v>
      </c>
      <c r="D156" s="24">
        <v>0.05816</v>
      </c>
      <c r="E156" s="52">
        <v>27.8</v>
      </c>
      <c r="F156" s="53">
        <f t="shared" si="1"/>
        <v>1.894299117</v>
      </c>
      <c r="G156" s="52">
        <v>3.5</v>
      </c>
      <c r="H156" s="54">
        <f t="shared" si="2"/>
        <v>0.2340070799</v>
      </c>
      <c r="I156" s="52">
        <v>10.8</v>
      </c>
      <c r="J156" s="54">
        <f t="shared" si="3"/>
        <v>1.10979351</v>
      </c>
      <c r="K156" s="55">
        <v>2.770833333</v>
      </c>
      <c r="L156" s="54">
        <f t="shared" si="4"/>
        <v>0.1863923687</v>
      </c>
      <c r="M156" s="55">
        <v>5.041666667</v>
      </c>
      <c r="N156" s="56">
        <f t="shared" si="5"/>
        <v>0.3157789518</v>
      </c>
      <c r="O156" s="57">
        <v>0.563</v>
      </c>
      <c r="P156" s="24">
        <v>26946.0</v>
      </c>
      <c r="Q156" s="24">
        <v>13748.0</v>
      </c>
      <c r="R156" s="24">
        <v>3058.0</v>
      </c>
      <c r="S156" s="24">
        <v>3830.0</v>
      </c>
      <c r="T156" s="24">
        <v>2162.0</v>
      </c>
      <c r="U156" s="24">
        <v>21.7658</v>
      </c>
      <c r="V156" s="24">
        <v>11.105</v>
      </c>
      <c r="W156" s="24">
        <v>2.4701</v>
      </c>
      <c r="X156" s="24">
        <v>3.0937</v>
      </c>
      <c r="Y156" s="24">
        <v>1.7464</v>
      </c>
      <c r="Z156" s="24">
        <v>101.4</v>
      </c>
      <c r="AA156" s="24">
        <v>23.4</v>
      </c>
      <c r="AB156" s="24">
        <v>5.2</v>
      </c>
      <c r="AC156" s="24">
        <v>41.6</v>
      </c>
      <c r="AD156" s="24">
        <v>8.3</v>
      </c>
      <c r="AE156" s="24">
        <v>1.1716</v>
      </c>
      <c r="AF156" s="24">
        <v>1.766827</v>
      </c>
      <c r="AG156" s="24">
        <v>1.156627</v>
      </c>
      <c r="AH156" s="24">
        <v>1.076923</v>
      </c>
      <c r="AI156" s="24">
        <v>1.149573</v>
      </c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</row>
    <row r="157">
      <c r="A157" s="51" t="s">
        <v>49</v>
      </c>
      <c r="B157" s="51" t="s">
        <v>107</v>
      </c>
      <c r="C157" s="24">
        <v>1996.0</v>
      </c>
      <c r="D157" s="24">
        <v>0.05816</v>
      </c>
      <c r="E157" s="52">
        <v>26.9</v>
      </c>
      <c r="F157" s="53">
        <f t="shared" si="1"/>
        <v>1.868017776</v>
      </c>
      <c r="G157" s="52">
        <v>3.6</v>
      </c>
      <c r="H157" s="54">
        <f t="shared" si="2"/>
        <v>0.2481151663</v>
      </c>
      <c r="I157" s="52">
        <v>10.9</v>
      </c>
      <c r="J157" s="54">
        <f t="shared" si="3"/>
        <v>1.128205413</v>
      </c>
      <c r="K157" s="55">
        <v>2.354166667</v>
      </c>
      <c r="L157" s="54">
        <f t="shared" si="4"/>
        <v>0.164302</v>
      </c>
      <c r="M157" s="55">
        <v>4.3125</v>
      </c>
      <c r="N157" s="56">
        <f t="shared" si="5"/>
        <v>0.2754046518</v>
      </c>
      <c r="O157" s="57">
        <v>0.558</v>
      </c>
      <c r="P157" s="24">
        <v>26946.0</v>
      </c>
      <c r="Q157" s="24">
        <v>13748.0</v>
      </c>
      <c r="R157" s="24">
        <v>3058.0</v>
      </c>
      <c r="S157" s="24">
        <v>3830.0</v>
      </c>
      <c r="T157" s="24">
        <v>2162.0</v>
      </c>
      <c r="U157" s="24">
        <v>21.7658</v>
      </c>
      <c r="V157" s="24">
        <v>11.105</v>
      </c>
      <c r="W157" s="24">
        <v>2.4701</v>
      </c>
      <c r="X157" s="24">
        <v>3.0937</v>
      </c>
      <c r="Y157" s="24">
        <v>1.7464</v>
      </c>
      <c r="Z157" s="24">
        <v>99.5</v>
      </c>
      <c r="AA157" s="24">
        <v>22.7</v>
      </c>
      <c r="AB157" s="24">
        <v>5.1</v>
      </c>
      <c r="AC157" s="24">
        <v>41.3</v>
      </c>
      <c r="AD157" s="24">
        <v>8.0</v>
      </c>
      <c r="AE157" s="24">
        <v>1.194</v>
      </c>
      <c r="AF157" s="24">
        <v>1.779661</v>
      </c>
      <c r="AG157" s="24">
        <v>1.2</v>
      </c>
      <c r="AH157" s="24">
        <v>1.098039</v>
      </c>
      <c r="AI157" s="24">
        <v>1.185022</v>
      </c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</row>
    <row r="158">
      <c r="A158" s="51" t="s">
        <v>49</v>
      </c>
      <c r="B158" s="51" t="s">
        <v>107</v>
      </c>
      <c r="C158" s="24">
        <v>1997.0</v>
      </c>
      <c r="D158" s="24">
        <v>0.063</v>
      </c>
      <c r="E158" s="52">
        <v>23.2</v>
      </c>
      <c r="F158" s="53">
        <f t="shared" si="1"/>
        <v>1.7919216</v>
      </c>
      <c r="G158" s="52">
        <v>3.0</v>
      </c>
      <c r="H158" s="54">
        <f t="shared" si="2"/>
        <v>0.231095403</v>
      </c>
      <c r="I158" s="52">
        <v>9.2</v>
      </c>
      <c r="J158" s="54">
        <f t="shared" si="3"/>
        <v>1.036510852</v>
      </c>
      <c r="K158" s="55">
        <v>2.25</v>
      </c>
      <c r="L158" s="54">
        <f t="shared" si="4"/>
        <v>0.165951261</v>
      </c>
      <c r="M158" s="55">
        <v>3.326923077</v>
      </c>
      <c r="N158" s="56">
        <f t="shared" si="5"/>
        <v>0.2395384316</v>
      </c>
      <c r="O158" s="57">
        <v>0.558</v>
      </c>
      <c r="P158" s="24">
        <v>26946.0</v>
      </c>
      <c r="Q158" s="24">
        <v>13748.0</v>
      </c>
      <c r="R158" s="24">
        <v>3058.0</v>
      </c>
      <c r="S158" s="24">
        <v>3830.0</v>
      </c>
      <c r="T158" s="24">
        <v>2162.0</v>
      </c>
      <c r="U158" s="24">
        <v>21.7658</v>
      </c>
      <c r="V158" s="24">
        <v>11.105</v>
      </c>
      <c r="W158" s="24">
        <v>2.4701</v>
      </c>
      <c r="X158" s="24">
        <v>3.0937</v>
      </c>
      <c r="Y158" s="24">
        <v>1.7464</v>
      </c>
      <c r="Z158" s="24">
        <v>96.9</v>
      </c>
      <c r="AA158" s="24">
        <v>22.0</v>
      </c>
      <c r="AB158" s="24">
        <v>4.9</v>
      </c>
      <c r="AC158" s="24">
        <v>41.1</v>
      </c>
      <c r="AD158" s="24">
        <v>8.2</v>
      </c>
      <c r="AE158" s="24">
        <v>1.226</v>
      </c>
      <c r="AF158" s="24">
        <v>1.788321</v>
      </c>
      <c r="AG158" s="24">
        <v>1.170732</v>
      </c>
      <c r="AH158" s="24">
        <v>1.142857</v>
      </c>
      <c r="AI158" s="24">
        <v>1.222727</v>
      </c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</row>
    <row r="159">
      <c r="A159" s="51" t="s">
        <v>49</v>
      </c>
      <c r="B159" s="51" t="s">
        <v>107</v>
      </c>
      <c r="C159" s="24">
        <v>1998.0</v>
      </c>
      <c r="D159" s="24">
        <v>0.03796</v>
      </c>
      <c r="E159" s="52">
        <v>16.4</v>
      </c>
      <c r="F159" s="53">
        <f t="shared" si="1"/>
        <v>0.7736354288</v>
      </c>
      <c r="G159" s="52">
        <v>3.0</v>
      </c>
      <c r="H159" s="54">
        <f t="shared" si="2"/>
        <v>0.1392441508</v>
      </c>
      <c r="I159" s="52">
        <v>9.8</v>
      </c>
      <c r="J159" s="54">
        <f t="shared" si="3"/>
        <v>0.6588574167</v>
      </c>
      <c r="K159" s="55">
        <v>2.680851064</v>
      </c>
      <c r="L159" s="54">
        <f t="shared" si="4"/>
        <v>0.1163029642</v>
      </c>
      <c r="M159" s="55">
        <v>3.063829787</v>
      </c>
      <c r="N159" s="56">
        <f t="shared" si="5"/>
        <v>0.1277052064</v>
      </c>
      <c r="O159" s="57">
        <v>0.531</v>
      </c>
      <c r="P159" s="24">
        <v>26946.0</v>
      </c>
      <c r="Q159" s="24">
        <v>13748.0</v>
      </c>
      <c r="R159" s="24">
        <v>3058.0</v>
      </c>
      <c r="S159" s="24">
        <v>3830.0</v>
      </c>
      <c r="T159" s="24">
        <v>2162.0</v>
      </c>
      <c r="U159" s="24">
        <v>21.7658</v>
      </c>
      <c r="V159" s="24">
        <v>11.105</v>
      </c>
      <c r="W159" s="24">
        <v>2.4701</v>
      </c>
      <c r="X159" s="24">
        <v>3.0937</v>
      </c>
      <c r="Y159" s="24">
        <v>1.7464</v>
      </c>
      <c r="Z159" s="24">
        <v>95.6</v>
      </c>
      <c r="AA159" s="24">
        <v>22.0</v>
      </c>
      <c r="AB159" s="24">
        <v>5.1</v>
      </c>
      <c r="AC159" s="24">
        <v>41.5</v>
      </c>
      <c r="AD159" s="24">
        <v>8.4</v>
      </c>
      <c r="AE159" s="24">
        <v>1.2427</v>
      </c>
      <c r="AF159" s="24">
        <v>1.771084</v>
      </c>
      <c r="AG159" s="24">
        <v>1.142857</v>
      </c>
      <c r="AH159" s="24">
        <v>1.098039</v>
      </c>
      <c r="AI159" s="24">
        <v>1.222727</v>
      </c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</row>
    <row r="160">
      <c r="A160" s="51" t="s">
        <v>49</v>
      </c>
      <c r="B160" s="51" t="s">
        <v>107</v>
      </c>
      <c r="C160" s="24">
        <v>1999.0</v>
      </c>
      <c r="D160" s="24">
        <v>0.04039</v>
      </c>
      <c r="E160" s="52">
        <v>18.9</v>
      </c>
      <c r="F160" s="53">
        <f t="shared" si="1"/>
        <v>0.9900158499</v>
      </c>
      <c r="G160" s="52">
        <v>1.8</v>
      </c>
      <c r="H160" s="54">
        <f t="shared" si="2"/>
        <v>0.09447748493</v>
      </c>
      <c r="I160" s="52">
        <v>9.6</v>
      </c>
      <c r="J160" s="54">
        <f t="shared" si="3"/>
        <v>0.683433697</v>
      </c>
      <c r="K160" s="55">
        <v>2.46</v>
      </c>
      <c r="L160" s="54">
        <f t="shared" si="4"/>
        <v>0.1135535858</v>
      </c>
      <c r="M160" s="55">
        <v>3.69</v>
      </c>
      <c r="N160" s="56">
        <f t="shared" si="5"/>
        <v>0.166923792</v>
      </c>
      <c r="O160" s="57">
        <v>0.559</v>
      </c>
      <c r="P160" s="24">
        <v>26946.0</v>
      </c>
      <c r="Q160" s="24">
        <v>13748.0</v>
      </c>
      <c r="R160" s="24">
        <v>3058.0</v>
      </c>
      <c r="S160" s="24">
        <v>3830.0</v>
      </c>
      <c r="T160" s="24">
        <v>2162.0</v>
      </c>
      <c r="U160" s="24">
        <v>21.7658</v>
      </c>
      <c r="V160" s="24">
        <v>11.105</v>
      </c>
      <c r="W160" s="24">
        <v>2.4701</v>
      </c>
      <c r="X160" s="24">
        <v>3.0937</v>
      </c>
      <c r="Y160" s="24">
        <v>1.7464</v>
      </c>
      <c r="Z160" s="24">
        <v>91.6</v>
      </c>
      <c r="AA160" s="24">
        <v>20.7</v>
      </c>
      <c r="AB160" s="24">
        <v>5.0</v>
      </c>
      <c r="AC160" s="24">
        <v>41.7</v>
      </c>
      <c r="AD160" s="24">
        <v>8.4</v>
      </c>
      <c r="AE160" s="24">
        <v>1.2969</v>
      </c>
      <c r="AF160" s="24">
        <v>1.76259</v>
      </c>
      <c r="AG160" s="24">
        <v>1.142857</v>
      </c>
      <c r="AH160" s="24">
        <v>1.12</v>
      </c>
      <c r="AI160" s="24">
        <v>1.299517</v>
      </c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</row>
    <row r="161">
      <c r="A161" s="51" t="s">
        <v>49</v>
      </c>
      <c r="B161" s="51" t="s">
        <v>107</v>
      </c>
      <c r="C161" s="24">
        <v>2000.0</v>
      </c>
      <c r="D161" s="24">
        <v>0.03554</v>
      </c>
      <c r="E161" s="52">
        <v>10.3</v>
      </c>
      <c r="F161" s="53">
        <f t="shared" si="1"/>
        <v>0.446046547</v>
      </c>
      <c r="G161" s="52">
        <v>1.4</v>
      </c>
      <c r="H161" s="54">
        <f t="shared" si="2"/>
        <v>0.06001956817</v>
      </c>
      <c r="I161" s="52">
        <v>6.2</v>
      </c>
      <c r="J161" s="54">
        <f t="shared" si="3"/>
        <v>0.3775193639</v>
      </c>
      <c r="K161" s="55">
        <v>1.397727273</v>
      </c>
      <c r="L161" s="54">
        <f t="shared" si="4"/>
        <v>0.06036483944</v>
      </c>
      <c r="M161" s="55">
        <v>2.386363636</v>
      </c>
      <c r="N161" s="56">
        <f t="shared" si="5"/>
        <v>0.09133530815</v>
      </c>
      <c r="O161" s="57">
        <v>0.484</v>
      </c>
      <c r="P161" s="24">
        <v>26946.0</v>
      </c>
      <c r="Q161" s="24">
        <v>13748.0</v>
      </c>
      <c r="R161" s="24">
        <v>3058.0</v>
      </c>
      <c r="S161" s="24">
        <v>3830.0</v>
      </c>
      <c r="T161" s="24">
        <v>2162.0</v>
      </c>
      <c r="U161" s="24">
        <v>21.7658</v>
      </c>
      <c r="V161" s="24">
        <v>11.105</v>
      </c>
      <c r="W161" s="24">
        <v>2.4701</v>
      </c>
      <c r="X161" s="24">
        <v>3.0937</v>
      </c>
      <c r="Y161" s="24">
        <v>1.7464</v>
      </c>
      <c r="Z161" s="24">
        <v>97.5</v>
      </c>
      <c r="AA161" s="24">
        <v>22.3</v>
      </c>
      <c r="AB161" s="24">
        <v>5.2</v>
      </c>
      <c r="AC161" s="24">
        <v>42.9</v>
      </c>
      <c r="AD161" s="24">
        <v>7.9</v>
      </c>
      <c r="AE161" s="24">
        <v>1.2185</v>
      </c>
      <c r="AF161" s="24">
        <v>1.713287</v>
      </c>
      <c r="AG161" s="24">
        <v>1.21519</v>
      </c>
      <c r="AH161" s="24">
        <v>1.076923</v>
      </c>
      <c r="AI161" s="24">
        <v>1.206278</v>
      </c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</row>
    <row r="162">
      <c r="A162" s="51" t="s">
        <v>49</v>
      </c>
      <c r="B162" s="51" t="s">
        <v>107</v>
      </c>
      <c r="C162" s="24">
        <v>2001.0</v>
      </c>
      <c r="D162" s="24">
        <v>0.04685</v>
      </c>
      <c r="E162" s="52">
        <v>11.9</v>
      </c>
      <c r="F162" s="53">
        <f t="shared" si="1"/>
        <v>0.698677798</v>
      </c>
      <c r="G162" s="52">
        <v>1.2</v>
      </c>
      <c r="H162" s="54">
        <f t="shared" si="2"/>
        <v>0.0693723879</v>
      </c>
      <c r="I162" s="52">
        <v>7.4</v>
      </c>
      <c r="J162" s="54">
        <f t="shared" si="3"/>
        <v>0.5995698463</v>
      </c>
      <c r="K162" s="55">
        <v>1.810344828</v>
      </c>
      <c r="L162" s="54">
        <f t="shared" si="4"/>
        <v>0.1043872484</v>
      </c>
      <c r="M162" s="55">
        <v>2.275862069</v>
      </c>
      <c r="N162" s="56">
        <f t="shared" si="5"/>
        <v>0.1126594906</v>
      </c>
      <c r="O162" s="57">
        <v>0.526</v>
      </c>
      <c r="P162" s="24">
        <v>26946.0</v>
      </c>
      <c r="Q162" s="24">
        <v>13748.0</v>
      </c>
      <c r="R162" s="24">
        <v>3058.0</v>
      </c>
      <c r="S162" s="24">
        <v>3830.0</v>
      </c>
      <c r="T162" s="24">
        <v>2162.0</v>
      </c>
      <c r="U162" s="24">
        <v>21.7658</v>
      </c>
      <c r="V162" s="24">
        <v>11.105</v>
      </c>
      <c r="W162" s="24">
        <v>2.4701</v>
      </c>
      <c r="X162" s="24">
        <v>3.0937</v>
      </c>
      <c r="Y162" s="24">
        <v>1.7464</v>
      </c>
      <c r="Z162" s="24">
        <v>94.8</v>
      </c>
      <c r="AA162" s="24">
        <v>21.8</v>
      </c>
      <c r="AB162" s="24">
        <v>5.3</v>
      </c>
      <c r="AC162" s="24">
        <v>42.5</v>
      </c>
      <c r="AD162" s="24">
        <v>7.8</v>
      </c>
      <c r="AE162" s="24">
        <v>1.2532</v>
      </c>
      <c r="AF162" s="24">
        <v>1.729412</v>
      </c>
      <c r="AG162" s="24">
        <v>1.230769</v>
      </c>
      <c r="AH162" s="24">
        <v>1.056604</v>
      </c>
      <c r="AI162" s="24">
        <v>1.233945</v>
      </c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</row>
    <row r="163">
      <c r="A163" s="51" t="s">
        <v>49</v>
      </c>
      <c r="B163" s="51" t="s">
        <v>107</v>
      </c>
      <c r="C163" s="24">
        <v>2002.0</v>
      </c>
      <c r="D163" s="24">
        <v>0.04927</v>
      </c>
      <c r="E163" s="52">
        <v>7.1</v>
      </c>
      <c r="F163" s="53">
        <f t="shared" si="1"/>
        <v>0.435172348</v>
      </c>
      <c r="G163" s="52">
        <v>1.1</v>
      </c>
      <c r="H163" s="54">
        <f t="shared" si="2"/>
        <v>0.06657077127</v>
      </c>
      <c r="I163" s="52">
        <v>6.0</v>
      </c>
      <c r="J163" s="54">
        <f t="shared" si="3"/>
        <v>0.5124546094</v>
      </c>
      <c r="K163" s="55">
        <v>1.819672131</v>
      </c>
      <c r="L163" s="54">
        <f t="shared" si="4"/>
        <v>0.1103448973</v>
      </c>
      <c r="M163" s="55">
        <v>2.213114754</v>
      </c>
      <c r="N163" s="56">
        <f t="shared" si="5"/>
        <v>0.1174278605</v>
      </c>
      <c r="O163" s="57">
        <v>0.478</v>
      </c>
      <c r="P163" s="24">
        <v>26946.0</v>
      </c>
      <c r="Q163" s="24">
        <v>13748.0</v>
      </c>
      <c r="R163" s="24">
        <v>3058.0</v>
      </c>
      <c r="S163" s="24">
        <v>3830.0</v>
      </c>
      <c r="T163" s="24">
        <v>2162.0</v>
      </c>
      <c r="U163" s="24">
        <v>21.7658</v>
      </c>
      <c r="V163" s="24">
        <v>11.105</v>
      </c>
      <c r="W163" s="24">
        <v>2.4701</v>
      </c>
      <c r="X163" s="24">
        <v>3.0937</v>
      </c>
      <c r="Y163" s="24">
        <v>1.7464</v>
      </c>
      <c r="Z163" s="24">
        <v>95.5</v>
      </c>
      <c r="AA163" s="24">
        <v>21.9</v>
      </c>
      <c r="AB163" s="24">
        <v>5.2</v>
      </c>
      <c r="AC163" s="24">
        <v>42.4</v>
      </c>
      <c r="AD163" s="24">
        <v>7.8</v>
      </c>
      <c r="AE163" s="24">
        <v>1.244</v>
      </c>
      <c r="AF163" s="24">
        <v>1.733491</v>
      </c>
      <c r="AG163" s="24">
        <v>1.230769</v>
      </c>
      <c r="AH163" s="24">
        <v>1.076923</v>
      </c>
      <c r="AI163" s="24">
        <v>1.228311</v>
      </c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</row>
    <row r="164">
      <c r="A164" s="51" t="s">
        <v>66</v>
      </c>
      <c r="B164" s="51" t="s">
        <v>104</v>
      </c>
      <c r="C164" s="24">
        <v>1982.0</v>
      </c>
      <c r="D164" s="24">
        <v>0.07354</v>
      </c>
      <c r="E164" s="52">
        <v>17.0</v>
      </c>
      <c r="F164" s="53">
        <f t="shared" si="1"/>
        <v>1.367571902</v>
      </c>
      <c r="G164" s="52">
        <v>7.8</v>
      </c>
      <c r="H164" s="54">
        <f t="shared" si="2"/>
        <v>0.6123078655</v>
      </c>
      <c r="I164" s="52">
        <v>2.9</v>
      </c>
      <c r="J164" s="54">
        <f t="shared" si="3"/>
        <v>0.3603459632</v>
      </c>
      <c r="K164" s="55">
        <v>3.125</v>
      </c>
      <c r="L164" s="54">
        <f t="shared" si="4"/>
        <v>0.2595529953</v>
      </c>
      <c r="M164" s="55">
        <v>0.354166667</v>
      </c>
      <c r="N164" s="56">
        <f t="shared" si="5"/>
        <v>0.02701006079</v>
      </c>
      <c r="O164" s="57">
        <v>0.487</v>
      </c>
      <c r="P164" s="24">
        <v>18822.0</v>
      </c>
      <c r="Q164" s="24">
        <v>3478.0</v>
      </c>
      <c r="R164" s="24">
        <v>9061.0</v>
      </c>
      <c r="S164" s="24">
        <v>249.0</v>
      </c>
      <c r="T164" s="24">
        <v>1861.0</v>
      </c>
      <c r="U164" s="24">
        <v>19.2257</v>
      </c>
      <c r="V164" s="24">
        <v>3.5526</v>
      </c>
      <c r="W164" s="24">
        <v>9.2554</v>
      </c>
      <c r="X164" s="24">
        <v>0.2543</v>
      </c>
      <c r="Y164" s="24">
        <v>1.9009</v>
      </c>
      <c r="Z164" s="24">
        <v>108.6</v>
      </c>
      <c r="AA164" s="24">
        <v>25.2</v>
      </c>
      <c r="AB164" s="24">
        <v>5.4</v>
      </c>
      <c r="AC164" s="24">
        <v>43.5</v>
      </c>
      <c r="AD164" s="24">
        <v>8.5</v>
      </c>
      <c r="AE164" s="24">
        <v>1.0939</v>
      </c>
      <c r="AF164" s="24">
        <v>1.689655</v>
      </c>
      <c r="AG164" s="24">
        <v>1.129412</v>
      </c>
      <c r="AH164" s="24">
        <v>1.037037</v>
      </c>
      <c r="AI164" s="24">
        <v>1.06746</v>
      </c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</row>
    <row r="165">
      <c r="A165" s="51" t="s">
        <v>66</v>
      </c>
      <c r="B165" s="51" t="s">
        <v>104</v>
      </c>
      <c r="C165" s="24">
        <v>1983.0</v>
      </c>
      <c r="D165" s="24">
        <v>0.08274</v>
      </c>
      <c r="E165" s="52">
        <v>22.9</v>
      </c>
      <c r="F165" s="53">
        <f t="shared" si="1"/>
        <v>2.074557395</v>
      </c>
      <c r="G165" s="52">
        <v>7.8</v>
      </c>
      <c r="H165" s="54">
        <f t="shared" si="2"/>
        <v>0.6702898129</v>
      </c>
      <c r="I165" s="52">
        <v>4.0</v>
      </c>
      <c r="J165" s="54">
        <f t="shared" si="3"/>
        <v>0.5466416676</v>
      </c>
      <c r="K165" s="55">
        <v>3.685185185</v>
      </c>
      <c r="L165" s="54">
        <f t="shared" si="4"/>
        <v>0.3288941783</v>
      </c>
      <c r="M165" s="55">
        <v>0.537037037</v>
      </c>
      <c r="N165" s="56">
        <f t="shared" si="5"/>
        <v>0.04443444444</v>
      </c>
      <c r="O165" s="57">
        <v>0.525</v>
      </c>
      <c r="P165" s="24">
        <v>18822.0</v>
      </c>
      <c r="Q165" s="24">
        <v>3478.0</v>
      </c>
      <c r="R165" s="24">
        <v>9061.0</v>
      </c>
      <c r="S165" s="24">
        <v>249.0</v>
      </c>
      <c r="T165" s="24">
        <v>1861.0</v>
      </c>
      <c r="U165" s="24">
        <v>19.2257</v>
      </c>
      <c r="V165" s="24">
        <v>3.5526</v>
      </c>
      <c r="W165" s="24">
        <v>9.2554</v>
      </c>
      <c r="X165" s="24">
        <v>0.2543</v>
      </c>
      <c r="Y165" s="24">
        <v>1.9009</v>
      </c>
      <c r="Z165" s="24">
        <v>108.5</v>
      </c>
      <c r="AA165" s="24">
        <v>25.9</v>
      </c>
      <c r="AB165" s="24">
        <v>5.6</v>
      </c>
      <c r="AC165" s="24">
        <v>44.5</v>
      </c>
      <c r="AD165" s="24">
        <v>8.9</v>
      </c>
      <c r="AE165" s="24">
        <v>1.0949</v>
      </c>
      <c r="AF165" s="24">
        <v>1.651685</v>
      </c>
      <c r="AG165" s="24">
        <v>1.078652</v>
      </c>
      <c r="AH165" s="24">
        <v>1.0</v>
      </c>
      <c r="AI165" s="24">
        <v>1.03861</v>
      </c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</row>
    <row r="166">
      <c r="A166" s="51" t="s">
        <v>66</v>
      </c>
      <c r="B166" s="51" t="s">
        <v>104</v>
      </c>
      <c r="C166" s="24">
        <v>1984.0</v>
      </c>
      <c r="D166" s="24">
        <v>0.08376</v>
      </c>
      <c r="E166" s="52">
        <v>21.3</v>
      </c>
      <c r="F166" s="53">
        <f t="shared" si="1"/>
        <v>1.925030952</v>
      </c>
      <c r="G166" s="52">
        <v>11.1</v>
      </c>
      <c r="H166" s="54">
        <f t="shared" si="2"/>
        <v>0.9545766864</v>
      </c>
      <c r="I166" s="52">
        <v>4.0</v>
      </c>
      <c r="J166" s="54">
        <f t="shared" si="3"/>
        <v>0.5726845421</v>
      </c>
      <c r="K166" s="55">
        <v>3.731707317</v>
      </c>
      <c r="L166" s="54">
        <f t="shared" si="4"/>
        <v>0.3530178296</v>
      </c>
      <c r="M166" s="55">
        <v>0.603658537</v>
      </c>
      <c r="N166" s="56">
        <f t="shared" si="5"/>
        <v>0.05342447536</v>
      </c>
      <c r="O166" s="57">
        <v>0.52</v>
      </c>
      <c r="P166" s="24">
        <v>18822.0</v>
      </c>
      <c r="Q166" s="24">
        <v>3478.0</v>
      </c>
      <c r="R166" s="24">
        <v>9061.0</v>
      </c>
      <c r="S166" s="24">
        <v>249.0</v>
      </c>
      <c r="T166" s="24">
        <v>1861.0</v>
      </c>
      <c r="U166" s="24">
        <v>19.2257</v>
      </c>
      <c r="V166" s="24">
        <v>3.5526</v>
      </c>
      <c r="W166" s="24">
        <v>9.2554</v>
      </c>
      <c r="X166" s="24">
        <v>0.2543</v>
      </c>
      <c r="Y166" s="24">
        <v>1.9009</v>
      </c>
      <c r="Z166" s="24">
        <v>110.1</v>
      </c>
      <c r="AA166" s="24">
        <v>26.2</v>
      </c>
      <c r="AB166" s="24">
        <v>5.3</v>
      </c>
      <c r="AC166" s="24">
        <v>43.0</v>
      </c>
      <c r="AD166" s="24">
        <v>8.5</v>
      </c>
      <c r="AE166" s="24">
        <v>1.079</v>
      </c>
      <c r="AF166" s="24">
        <v>1.709302</v>
      </c>
      <c r="AG166" s="24">
        <v>1.129412</v>
      </c>
      <c r="AH166" s="24">
        <v>1.056604</v>
      </c>
      <c r="AI166" s="24">
        <v>1.026718</v>
      </c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</row>
    <row r="167">
      <c r="A167" s="51" t="s">
        <v>66</v>
      </c>
      <c r="B167" s="51" t="s">
        <v>104</v>
      </c>
      <c r="C167" s="24">
        <v>1985.0</v>
      </c>
      <c r="D167" s="24">
        <v>0.08274</v>
      </c>
      <c r="E167" s="52">
        <v>21.2</v>
      </c>
      <c r="F167" s="53">
        <f t="shared" si="1"/>
        <v>1.880733154</v>
      </c>
      <c r="G167" s="52">
        <v>13.9</v>
      </c>
      <c r="H167" s="54">
        <f t="shared" si="2"/>
        <v>1.176324062</v>
      </c>
      <c r="I167" s="52">
        <v>4.5</v>
      </c>
      <c r="J167" s="54">
        <f t="shared" si="3"/>
        <v>0.6291092462</v>
      </c>
      <c r="K167" s="55">
        <v>3.462962963</v>
      </c>
      <c r="L167" s="54">
        <f t="shared" si="4"/>
        <v>0.3236054008</v>
      </c>
      <c r="M167" s="55">
        <v>0.462962963</v>
      </c>
      <c r="N167" s="56">
        <f t="shared" si="5"/>
        <v>0.04047380323</v>
      </c>
      <c r="O167" s="57">
        <v>0.529</v>
      </c>
      <c r="P167" s="24">
        <v>18822.0</v>
      </c>
      <c r="Q167" s="24">
        <v>3478.0</v>
      </c>
      <c r="R167" s="24">
        <v>9061.0</v>
      </c>
      <c r="S167" s="24">
        <v>249.0</v>
      </c>
      <c r="T167" s="24">
        <v>1861.0</v>
      </c>
      <c r="U167" s="24">
        <v>19.2257</v>
      </c>
      <c r="V167" s="24">
        <v>3.5526</v>
      </c>
      <c r="W167" s="24">
        <v>9.2554</v>
      </c>
      <c r="X167" s="24">
        <v>0.2543</v>
      </c>
      <c r="Y167" s="24">
        <v>1.9009</v>
      </c>
      <c r="Z167" s="24">
        <v>110.8</v>
      </c>
      <c r="AA167" s="24">
        <v>26.3</v>
      </c>
      <c r="AB167" s="24">
        <v>5.3</v>
      </c>
      <c r="AC167" s="24">
        <v>43.5</v>
      </c>
      <c r="AD167" s="24">
        <v>8.5</v>
      </c>
      <c r="AE167" s="24">
        <v>1.0722</v>
      </c>
      <c r="AF167" s="24">
        <v>1.689655</v>
      </c>
      <c r="AG167" s="24">
        <v>1.129412</v>
      </c>
      <c r="AH167" s="24">
        <v>1.056604</v>
      </c>
      <c r="AI167" s="24">
        <v>1.022814</v>
      </c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</row>
    <row r="168">
      <c r="A168" s="51" t="s">
        <v>66</v>
      </c>
      <c r="B168" s="51" t="s">
        <v>104</v>
      </c>
      <c r="C168" s="24">
        <v>1986.0</v>
      </c>
      <c r="D168" s="24">
        <v>0.07865</v>
      </c>
      <c r="E168" s="52">
        <v>20.9</v>
      </c>
      <c r="F168" s="53">
        <f t="shared" si="1"/>
        <v>1.77200023</v>
      </c>
      <c r="G168" s="52">
        <v>10.8</v>
      </c>
      <c r="H168" s="54">
        <f t="shared" si="2"/>
        <v>0.8788226733</v>
      </c>
      <c r="I168" s="52">
        <v>3.6</v>
      </c>
      <c r="J168" s="54">
        <f t="shared" si="3"/>
        <v>0.4773117492</v>
      </c>
      <c r="K168" s="55">
        <v>3.331168831</v>
      </c>
      <c r="L168" s="54">
        <f t="shared" si="4"/>
        <v>0.2858142619</v>
      </c>
      <c r="M168" s="55">
        <v>0.38961039</v>
      </c>
      <c r="N168" s="56">
        <f t="shared" si="5"/>
        <v>0.03237736546</v>
      </c>
      <c r="O168" s="57">
        <v>0.554</v>
      </c>
      <c r="P168" s="24">
        <v>18822.0</v>
      </c>
      <c r="Q168" s="24">
        <v>3478.0</v>
      </c>
      <c r="R168" s="24">
        <v>9061.0</v>
      </c>
      <c r="S168" s="24">
        <v>249.0</v>
      </c>
      <c r="T168" s="24">
        <v>1861.0</v>
      </c>
      <c r="U168" s="24">
        <v>19.2257</v>
      </c>
      <c r="V168" s="24">
        <v>3.5526</v>
      </c>
      <c r="W168" s="24">
        <v>9.2554</v>
      </c>
      <c r="X168" s="24">
        <v>0.2543</v>
      </c>
      <c r="Y168" s="24">
        <v>1.9009</v>
      </c>
      <c r="Z168" s="24">
        <v>110.2</v>
      </c>
      <c r="AA168" s="24">
        <v>26.0</v>
      </c>
      <c r="AB168" s="24">
        <v>5.3</v>
      </c>
      <c r="AC168" s="24">
        <v>43.6</v>
      </c>
      <c r="AD168" s="24">
        <v>8.8</v>
      </c>
      <c r="AE168" s="24">
        <v>1.078</v>
      </c>
      <c r="AF168" s="24">
        <v>1.68578</v>
      </c>
      <c r="AG168" s="24">
        <v>1.090909</v>
      </c>
      <c r="AH168" s="24">
        <v>1.056604</v>
      </c>
      <c r="AI168" s="24">
        <v>1.034615</v>
      </c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</row>
    <row r="169">
      <c r="A169" s="51" t="s">
        <v>66</v>
      </c>
      <c r="B169" s="51" t="s">
        <v>104</v>
      </c>
      <c r="C169" s="24">
        <v>1987.0</v>
      </c>
      <c r="D169" s="24">
        <v>0.08274</v>
      </c>
      <c r="E169" s="52">
        <v>20.6</v>
      </c>
      <c r="F169" s="53">
        <f t="shared" si="1"/>
        <v>1.842503964</v>
      </c>
      <c r="G169" s="52">
        <v>10.0</v>
      </c>
      <c r="H169" s="54">
        <f t="shared" si="2"/>
        <v>0.856040451</v>
      </c>
      <c r="I169" s="52">
        <v>3.9</v>
      </c>
      <c r="J169" s="54">
        <f t="shared" si="3"/>
        <v>0.5390324421</v>
      </c>
      <c r="K169" s="55">
        <v>2.833333333</v>
      </c>
      <c r="L169" s="54">
        <f t="shared" si="4"/>
        <v>0.2616892859</v>
      </c>
      <c r="M169" s="55">
        <v>0.37037037</v>
      </c>
      <c r="N169" s="56">
        <f t="shared" si="5"/>
        <v>0.0312016217</v>
      </c>
      <c r="O169" s="57">
        <v>0.528</v>
      </c>
      <c r="P169" s="24">
        <v>18822.0</v>
      </c>
      <c r="Q169" s="24">
        <v>3478.0</v>
      </c>
      <c r="R169" s="24">
        <v>9061.0</v>
      </c>
      <c r="S169" s="24">
        <v>249.0</v>
      </c>
      <c r="T169" s="24">
        <v>1861.0</v>
      </c>
      <c r="U169" s="24">
        <v>19.2257</v>
      </c>
      <c r="V169" s="24">
        <v>3.5526</v>
      </c>
      <c r="W169" s="24">
        <v>9.2554</v>
      </c>
      <c r="X169" s="24">
        <v>0.2543</v>
      </c>
      <c r="Y169" s="24">
        <v>1.9009</v>
      </c>
      <c r="Z169" s="24">
        <v>109.9</v>
      </c>
      <c r="AA169" s="24">
        <v>26.0</v>
      </c>
      <c r="AB169" s="24">
        <v>5.5</v>
      </c>
      <c r="AC169" s="24">
        <v>44.0</v>
      </c>
      <c r="AD169" s="24">
        <v>8.6</v>
      </c>
      <c r="AE169" s="24">
        <v>1.081</v>
      </c>
      <c r="AF169" s="24">
        <v>1.670455</v>
      </c>
      <c r="AG169" s="24">
        <v>1.116279</v>
      </c>
      <c r="AH169" s="24">
        <v>1.018182</v>
      </c>
      <c r="AI169" s="24">
        <v>1.034615</v>
      </c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</row>
    <row r="170">
      <c r="A170" s="51" t="s">
        <v>66</v>
      </c>
      <c r="B170" s="51" t="s">
        <v>104</v>
      </c>
      <c r="C170" s="24">
        <v>1988.0</v>
      </c>
      <c r="D170" s="24">
        <v>0.08274</v>
      </c>
      <c r="E170" s="52">
        <v>19.5</v>
      </c>
      <c r="F170" s="53">
        <f t="shared" si="1"/>
        <v>1.77154614</v>
      </c>
      <c r="G170" s="52">
        <v>8.4</v>
      </c>
      <c r="H170" s="54">
        <f t="shared" si="2"/>
        <v>0.7246487022</v>
      </c>
      <c r="I170" s="52">
        <v>3.4</v>
      </c>
      <c r="J170" s="54">
        <f t="shared" si="3"/>
        <v>0.4764221492</v>
      </c>
      <c r="K170" s="55">
        <v>2.611111111</v>
      </c>
      <c r="L170" s="54">
        <f t="shared" si="4"/>
        <v>0.2440019332</v>
      </c>
      <c r="M170" s="55">
        <v>0.314814815</v>
      </c>
      <c r="N170" s="56">
        <f t="shared" si="5"/>
        <v>0.02701250934</v>
      </c>
      <c r="O170" s="57">
        <v>0.521</v>
      </c>
      <c r="P170" s="24">
        <v>18822.0</v>
      </c>
      <c r="Q170" s="24">
        <v>3478.0</v>
      </c>
      <c r="R170" s="24">
        <v>9061.0</v>
      </c>
      <c r="S170" s="24">
        <v>249.0</v>
      </c>
      <c r="T170" s="24">
        <v>1861.0</v>
      </c>
      <c r="U170" s="24">
        <v>19.2257</v>
      </c>
      <c r="V170" s="24">
        <v>3.5526</v>
      </c>
      <c r="W170" s="24">
        <v>9.2554</v>
      </c>
      <c r="X170" s="24">
        <v>0.2543</v>
      </c>
      <c r="Y170" s="24">
        <v>1.9009</v>
      </c>
      <c r="Z170" s="24">
        <v>108.2</v>
      </c>
      <c r="AA170" s="24">
        <v>25.8</v>
      </c>
      <c r="AB170" s="24">
        <v>5.4</v>
      </c>
      <c r="AC170" s="24">
        <v>43.4</v>
      </c>
      <c r="AD170" s="24">
        <v>8.5</v>
      </c>
      <c r="AE170" s="24">
        <v>1.098</v>
      </c>
      <c r="AF170" s="24">
        <v>1.693548</v>
      </c>
      <c r="AG170" s="24">
        <v>1.129412</v>
      </c>
      <c r="AH170" s="24">
        <v>1.037037</v>
      </c>
      <c r="AI170" s="24">
        <v>1.042636</v>
      </c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</row>
    <row r="171">
      <c r="A171" s="51" t="s">
        <v>66</v>
      </c>
      <c r="B171" s="51" t="s">
        <v>104</v>
      </c>
      <c r="C171" s="24">
        <v>1989.0</v>
      </c>
      <c r="D171" s="24">
        <v>0.08172</v>
      </c>
      <c r="E171" s="52">
        <v>18.2</v>
      </c>
      <c r="F171" s="53">
        <f t="shared" si="1"/>
        <v>1.618038022</v>
      </c>
      <c r="G171" s="52">
        <v>8.3</v>
      </c>
      <c r="H171" s="54">
        <f t="shared" si="2"/>
        <v>0.7127195336</v>
      </c>
      <c r="I171" s="52">
        <v>3.4</v>
      </c>
      <c r="J171" s="54">
        <f t="shared" si="3"/>
        <v>0.4651897925</v>
      </c>
      <c r="K171" s="55">
        <v>2.49375</v>
      </c>
      <c r="L171" s="54">
        <f t="shared" si="4"/>
        <v>0.2149864503</v>
      </c>
      <c r="M171" s="55">
        <v>0.375</v>
      </c>
      <c r="N171" s="56">
        <f t="shared" si="5"/>
        <v>0.03237962958</v>
      </c>
      <c r="O171" s="57">
        <v>0.528</v>
      </c>
      <c r="P171" s="24">
        <v>18822.0</v>
      </c>
      <c r="Q171" s="24">
        <v>3478.0</v>
      </c>
      <c r="R171" s="24">
        <v>9061.0</v>
      </c>
      <c r="S171" s="24">
        <v>249.0</v>
      </c>
      <c r="T171" s="24">
        <v>1861.0</v>
      </c>
      <c r="U171" s="24">
        <v>19.2257</v>
      </c>
      <c r="V171" s="24">
        <v>3.5526</v>
      </c>
      <c r="W171" s="24">
        <v>9.2554</v>
      </c>
      <c r="X171" s="24">
        <v>0.2543</v>
      </c>
      <c r="Y171" s="24">
        <v>1.9009</v>
      </c>
      <c r="Z171" s="24">
        <v>109.2</v>
      </c>
      <c r="AA171" s="24">
        <v>25.6</v>
      </c>
      <c r="AB171" s="24">
        <v>5.3</v>
      </c>
      <c r="AC171" s="24">
        <v>43.9</v>
      </c>
      <c r="AD171" s="24">
        <v>9.1</v>
      </c>
      <c r="AE171" s="24">
        <v>1.0879</v>
      </c>
      <c r="AF171" s="24">
        <v>1.67426</v>
      </c>
      <c r="AG171" s="24">
        <v>1.054945</v>
      </c>
      <c r="AH171" s="24">
        <v>1.056604</v>
      </c>
      <c r="AI171" s="24">
        <v>1.050781</v>
      </c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</row>
    <row r="172">
      <c r="A172" s="51" t="s">
        <v>66</v>
      </c>
      <c r="B172" s="51" t="s">
        <v>104</v>
      </c>
      <c r="C172" s="24">
        <v>1990.0</v>
      </c>
      <c r="D172" s="24">
        <v>0.08274</v>
      </c>
      <c r="E172" s="52">
        <v>18.4</v>
      </c>
      <c r="F172" s="53">
        <f t="shared" si="1"/>
        <v>1.690338485</v>
      </c>
      <c r="G172" s="52">
        <v>9.4</v>
      </c>
      <c r="H172" s="54">
        <f t="shared" si="2"/>
        <v>0.8402261397</v>
      </c>
      <c r="I172" s="52">
        <v>3.8</v>
      </c>
      <c r="J172" s="54">
        <f t="shared" si="3"/>
        <v>0.5361781024</v>
      </c>
      <c r="K172" s="55">
        <v>2.574074074</v>
      </c>
      <c r="L172" s="54">
        <f t="shared" si="4"/>
        <v>0.2405409129</v>
      </c>
      <c r="M172" s="55">
        <v>0.351851852</v>
      </c>
      <c r="N172" s="56">
        <f t="shared" si="5"/>
        <v>0.03196635539</v>
      </c>
      <c r="O172" s="57">
        <v>0.501</v>
      </c>
      <c r="P172" s="24">
        <v>18822.0</v>
      </c>
      <c r="Q172" s="24">
        <v>3478.0</v>
      </c>
      <c r="R172" s="24">
        <v>9061.0</v>
      </c>
      <c r="S172" s="24">
        <v>249.0</v>
      </c>
      <c r="T172" s="24">
        <v>1861.0</v>
      </c>
      <c r="U172" s="24">
        <v>19.2257</v>
      </c>
      <c r="V172" s="24">
        <v>3.5526</v>
      </c>
      <c r="W172" s="24">
        <v>9.2554</v>
      </c>
      <c r="X172" s="24">
        <v>0.2543</v>
      </c>
      <c r="Y172" s="24">
        <v>1.9009</v>
      </c>
      <c r="Z172" s="24">
        <v>107.0</v>
      </c>
      <c r="AA172" s="24">
        <v>24.9</v>
      </c>
      <c r="AB172" s="24">
        <v>5.1</v>
      </c>
      <c r="AC172" s="24">
        <v>43.1</v>
      </c>
      <c r="AD172" s="24">
        <v>8.5</v>
      </c>
      <c r="AE172" s="24">
        <v>1.1103</v>
      </c>
      <c r="AF172" s="24">
        <v>1.705336</v>
      </c>
      <c r="AG172" s="24">
        <v>1.129412</v>
      </c>
      <c r="AH172" s="24">
        <v>1.098039</v>
      </c>
      <c r="AI172" s="24">
        <v>1.080321</v>
      </c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</row>
    <row r="173">
      <c r="A173" s="51" t="s">
        <v>66</v>
      </c>
      <c r="B173" s="51" t="s">
        <v>104</v>
      </c>
      <c r="C173" s="24">
        <v>1991.0</v>
      </c>
      <c r="D173" s="24">
        <v>0.04903</v>
      </c>
      <c r="E173" s="52">
        <v>16.2</v>
      </c>
      <c r="F173" s="53">
        <f t="shared" si="1"/>
        <v>0.8876940336</v>
      </c>
      <c r="G173" s="52">
        <v>9.3</v>
      </c>
      <c r="H173" s="54">
        <f t="shared" si="2"/>
        <v>0.4965925936</v>
      </c>
      <c r="I173" s="52">
        <v>3.3</v>
      </c>
      <c r="J173" s="54">
        <f t="shared" si="3"/>
        <v>0.2746473305</v>
      </c>
      <c r="K173" s="55">
        <v>2.34375</v>
      </c>
      <c r="L173" s="54">
        <f t="shared" si="4"/>
        <v>0.1282761548</v>
      </c>
      <c r="M173" s="55">
        <v>0.3125</v>
      </c>
      <c r="N173" s="56">
        <f t="shared" si="5"/>
        <v>0.01618915441</v>
      </c>
      <c r="O173" s="57">
        <v>0.507</v>
      </c>
      <c r="P173" s="24">
        <v>18822.0</v>
      </c>
      <c r="Q173" s="24">
        <v>3478.0</v>
      </c>
      <c r="R173" s="24">
        <v>9061.0</v>
      </c>
      <c r="S173" s="24">
        <v>249.0</v>
      </c>
      <c r="T173" s="24">
        <v>1861.0</v>
      </c>
      <c r="U173" s="24">
        <v>19.2257</v>
      </c>
      <c r="V173" s="24">
        <v>3.5526</v>
      </c>
      <c r="W173" s="24">
        <v>9.2554</v>
      </c>
      <c r="X173" s="24">
        <v>0.2543</v>
      </c>
      <c r="Y173" s="24">
        <v>1.9009</v>
      </c>
      <c r="Z173" s="24">
        <v>106.3</v>
      </c>
      <c r="AA173" s="24">
        <v>24.7</v>
      </c>
      <c r="AB173" s="24">
        <v>5.3</v>
      </c>
      <c r="AC173" s="24">
        <v>43.3</v>
      </c>
      <c r="AD173" s="24">
        <v>8.6</v>
      </c>
      <c r="AE173" s="24">
        <v>1.1176</v>
      </c>
      <c r="AF173" s="24">
        <v>1.69746</v>
      </c>
      <c r="AG173" s="24">
        <v>1.116279</v>
      </c>
      <c r="AH173" s="24">
        <v>1.056604</v>
      </c>
      <c r="AI173" s="24">
        <v>1.089069</v>
      </c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</row>
    <row r="174">
      <c r="A174" s="51" t="s">
        <v>66</v>
      </c>
      <c r="B174" s="51" t="s">
        <v>104</v>
      </c>
      <c r="C174" s="24">
        <v>1992.0</v>
      </c>
      <c r="D174" s="24">
        <v>0.07967</v>
      </c>
      <c r="E174" s="52">
        <v>18.5</v>
      </c>
      <c r="F174" s="53">
        <f t="shared" si="1"/>
        <v>1.662848339</v>
      </c>
      <c r="G174" s="52">
        <v>7.2</v>
      </c>
      <c r="H174" s="54">
        <f t="shared" si="2"/>
        <v>0.6298156334</v>
      </c>
      <c r="I174" s="52">
        <v>3.2</v>
      </c>
      <c r="J174" s="54">
        <f t="shared" si="3"/>
        <v>0.4287959224</v>
      </c>
      <c r="K174" s="55">
        <v>2.269230769</v>
      </c>
      <c r="L174" s="54">
        <f t="shared" si="4"/>
        <v>0.2018116511</v>
      </c>
      <c r="M174" s="55">
        <v>0.288461538</v>
      </c>
      <c r="N174" s="56">
        <f t="shared" si="5"/>
        <v>0.02339958456</v>
      </c>
      <c r="O174" s="57">
        <v>0.505</v>
      </c>
      <c r="P174" s="24">
        <v>18822.0</v>
      </c>
      <c r="Q174" s="24">
        <v>3478.0</v>
      </c>
      <c r="R174" s="24">
        <v>9061.0</v>
      </c>
      <c r="S174" s="24">
        <v>249.0</v>
      </c>
      <c r="T174" s="24">
        <v>1861.0</v>
      </c>
      <c r="U174" s="24">
        <v>19.2257</v>
      </c>
      <c r="V174" s="24">
        <v>3.5526</v>
      </c>
      <c r="W174" s="24">
        <v>9.2554</v>
      </c>
      <c r="X174" s="24">
        <v>0.2543</v>
      </c>
      <c r="Y174" s="24">
        <v>1.9009</v>
      </c>
      <c r="Z174" s="24">
        <v>105.3</v>
      </c>
      <c r="AA174" s="24">
        <v>24.5</v>
      </c>
      <c r="AB174" s="24">
        <v>5.5</v>
      </c>
      <c r="AC174" s="24">
        <v>43.7</v>
      </c>
      <c r="AD174" s="24">
        <v>8.6</v>
      </c>
      <c r="AE174" s="24">
        <v>1.1282</v>
      </c>
      <c r="AF174" s="24">
        <v>1.681922</v>
      </c>
      <c r="AG174" s="24">
        <v>1.116279</v>
      </c>
      <c r="AH174" s="24">
        <v>1.018182</v>
      </c>
      <c r="AI174" s="24">
        <v>1.097959</v>
      </c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</row>
    <row r="175">
      <c r="A175" s="51" t="s">
        <v>66</v>
      </c>
      <c r="B175" s="51" t="s">
        <v>104</v>
      </c>
      <c r="C175" s="24">
        <v>1993.0</v>
      </c>
      <c r="D175" s="24">
        <v>0.08069</v>
      </c>
      <c r="E175" s="52">
        <v>17.6</v>
      </c>
      <c r="F175" s="53">
        <f t="shared" si="1"/>
        <v>1.602206461</v>
      </c>
      <c r="G175" s="52">
        <v>8.5</v>
      </c>
      <c r="H175" s="54">
        <f t="shared" si="2"/>
        <v>0.7469543097</v>
      </c>
      <c r="I175" s="52">
        <v>2.9</v>
      </c>
      <c r="J175" s="54">
        <f t="shared" si="3"/>
        <v>0.3990503293</v>
      </c>
      <c r="K175" s="55">
        <v>2.335443038</v>
      </c>
      <c r="L175" s="54">
        <f t="shared" si="4"/>
        <v>0.2103593157</v>
      </c>
      <c r="M175" s="55">
        <v>0.341772152</v>
      </c>
      <c r="N175" s="56">
        <f t="shared" si="5"/>
        <v>0.02969894628</v>
      </c>
      <c r="O175" s="57">
        <v>0.488</v>
      </c>
      <c r="P175" s="24">
        <v>18822.0</v>
      </c>
      <c r="Q175" s="24">
        <v>3478.0</v>
      </c>
      <c r="R175" s="24">
        <v>9061.0</v>
      </c>
      <c r="S175" s="24">
        <v>249.0</v>
      </c>
      <c r="T175" s="24">
        <v>1861.0</v>
      </c>
      <c r="U175" s="24">
        <v>19.2257</v>
      </c>
      <c r="V175" s="24">
        <v>3.5526</v>
      </c>
      <c r="W175" s="24">
        <v>9.2554</v>
      </c>
      <c r="X175" s="24">
        <v>0.2543</v>
      </c>
      <c r="Y175" s="24">
        <v>1.9009</v>
      </c>
      <c r="Z175" s="24">
        <v>105.3</v>
      </c>
      <c r="AA175" s="24">
        <v>24.7</v>
      </c>
      <c r="AB175" s="24">
        <v>5.2</v>
      </c>
      <c r="AC175" s="24">
        <v>43.1</v>
      </c>
      <c r="AD175" s="24">
        <v>8.6</v>
      </c>
      <c r="AE175" s="24">
        <v>1.1282</v>
      </c>
      <c r="AF175" s="24">
        <v>1.705336</v>
      </c>
      <c r="AG175" s="24">
        <v>1.116279</v>
      </c>
      <c r="AH175" s="24">
        <v>1.076923</v>
      </c>
      <c r="AI175" s="24">
        <v>1.089069</v>
      </c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</row>
    <row r="176">
      <c r="A176" s="51" t="s">
        <v>66</v>
      </c>
      <c r="B176" s="51" t="s">
        <v>104</v>
      </c>
      <c r="C176" s="24">
        <v>1994.0</v>
      </c>
      <c r="D176" s="24">
        <v>0.05924</v>
      </c>
      <c r="E176" s="52">
        <v>14.8</v>
      </c>
      <c r="F176" s="53">
        <f t="shared" si="1"/>
        <v>1.026150541</v>
      </c>
      <c r="G176" s="52">
        <v>6.9</v>
      </c>
      <c r="H176" s="54">
        <f t="shared" si="2"/>
        <v>0.450636731</v>
      </c>
      <c r="I176" s="52">
        <v>2.7</v>
      </c>
      <c r="J176" s="54">
        <f t="shared" si="3"/>
        <v>0.2733994363</v>
      </c>
      <c r="K176" s="55">
        <v>1.75862069</v>
      </c>
      <c r="L176" s="54">
        <f t="shared" si="4"/>
        <v>0.1123747093</v>
      </c>
      <c r="M176" s="55">
        <v>0.155172414</v>
      </c>
      <c r="N176" s="56">
        <f t="shared" si="5"/>
        <v>0.009899521853</v>
      </c>
      <c r="O176" s="57">
        <v>0.488</v>
      </c>
      <c r="P176" s="24">
        <v>18822.0</v>
      </c>
      <c r="Q176" s="24">
        <v>3478.0</v>
      </c>
      <c r="R176" s="24">
        <v>9061.0</v>
      </c>
      <c r="S176" s="24">
        <v>249.0</v>
      </c>
      <c r="T176" s="24">
        <v>1861.0</v>
      </c>
      <c r="U176" s="24">
        <v>19.2257</v>
      </c>
      <c r="V176" s="24">
        <v>3.5526</v>
      </c>
      <c r="W176" s="24">
        <v>9.2554</v>
      </c>
      <c r="X176" s="24">
        <v>0.2543</v>
      </c>
      <c r="Y176" s="24">
        <v>1.9009</v>
      </c>
      <c r="Z176" s="24">
        <v>101.5</v>
      </c>
      <c r="AA176" s="24">
        <v>24.4</v>
      </c>
      <c r="AB176" s="24">
        <v>5.2</v>
      </c>
      <c r="AC176" s="24">
        <v>43.0</v>
      </c>
      <c r="AD176" s="24">
        <v>8.9</v>
      </c>
      <c r="AE176" s="24">
        <v>1.1704</v>
      </c>
      <c r="AF176" s="24">
        <v>1.709302</v>
      </c>
      <c r="AG176" s="24">
        <v>1.078652</v>
      </c>
      <c r="AH176" s="24">
        <v>1.076923</v>
      </c>
      <c r="AI176" s="24">
        <v>1.102459</v>
      </c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</row>
    <row r="177">
      <c r="A177" s="51" t="s">
        <v>62</v>
      </c>
      <c r="B177" s="51" t="s">
        <v>104</v>
      </c>
      <c r="C177" s="24">
        <v>1995.0</v>
      </c>
      <c r="D177" s="24">
        <v>0.05177</v>
      </c>
      <c r="E177" s="52">
        <v>11.7</v>
      </c>
      <c r="F177" s="53">
        <f t="shared" si="1"/>
        <v>0.7096486644</v>
      </c>
      <c r="G177" s="52">
        <v>7.7</v>
      </c>
      <c r="H177" s="54">
        <f t="shared" si="2"/>
        <v>0.4582531354</v>
      </c>
      <c r="I177" s="52">
        <v>5.4</v>
      </c>
      <c r="J177" s="54">
        <f t="shared" si="3"/>
        <v>0.4939306225</v>
      </c>
      <c r="K177" s="55">
        <v>2.867088608</v>
      </c>
      <c r="L177" s="54">
        <f t="shared" si="4"/>
        <v>0.171677194</v>
      </c>
      <c r="M177" s="55">
        <v>0.455696203</v>
      </c>
      <c r="N177" s="56">
        <f t="shared" si="5"/>
        <v>0.02540611311</v>
      </c>
      <c r="O177" s="57">
        <v>0.471</v>
      </c>
      <c r="P177" s="24">
        <v>18992.0</v>
      </c>
      <c r="Q177" s="24">
        <v>9574.0</v>
      </c>
      <c r="R177" s="24">
        <v>13393.0</v>
      </c>
      <c r="S177" s="24">
        <v>496.0</v>
      </c>
      <c r="T177" s="24">
        <v>2944.0</v>
      </c>
      <c r="U177" s="24">
        <v>12.4456</v>
      </c>
      <c r="V177" s="24">
        <v>6.2739</v>
      </c>
      <c r="W177" s="24">
        <v>8.7765</v>
      </c>
      <c r="X177" s="24">
        <v>0.325</v>
      </c>
      <c r="Y177" s="24">
        <v>1.9292</v>
      </c>
      <c r="Z177" s="24">
        <v>101.4</v>
      </c>
      <c r="AA177" s="24">
        <v>23.4</v>
      </c>
      <c r="AB177" s="24">
        <v>5.2</v>
      </c>
      <c r="AC177" s="24">
        <v>41.6</v>
      </c>
      <c r="AD177" s="24">
        <v>8.3</v>
      </c>
      <c r="AE177" s="24">
        <v>1.1716</v>
      </c>
      <c r="AF177" s="24">
        <v>1.766827</v>
      </c>
      <c r="AG177" s="24">
        <v>1.156627</v>
      </c>
      <c r="AH177" s="24">
        <v>1.076923</v>
      </c>
      <c r="AI177" s="24">
        <v>1.149573</v>
      </c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</row>
    <row r="178">
      <c r="A178" s="51" t="s">
        <v>62</v>
      </c>
      <c r="B178" s="51" t="s">
        <v>104</v>
      </c>
      <c r="C178" s="24">
        <v>1996.0</v>
      </c>
      <c r="D178" s="24">
        <v>0.05308</v>
      </c>
      <c r="E178" s="52">
        <v>16.6</v>
      </c>
      <c r="F178" s="53">
        <f t="shared" si="1"/>
        <v>1.052066832</v>
      </c>
      <c r="G178" s="52">
        <v>9.7</v>
      </c>
      <c r="H178" s="54">
        <f t="shared" si="2"/>
        <v>0.6101393873</v>
      </c>
      <c r="I178" s="52">
        <v>6.8</v>
      </c>
      <c r="J178" s="54">
        <f t="shared" si="3"/>
        <v>0.64235796</v>
      </c>
      <c r="K178" s="55">
        <v>3.240740741</v>
      </c>
      <c r="L178" s="54">
        <f t="shared" si="4"/>
        <v>0.2064222222</v>
      </c>
      <c r="M178" s="55">
        <v>0.481481481</v>
      </c>
      <c r="N178" s="56">
        <f t="shared" si="5"/>
        <v>0.02806262336</v>
      </c>
      <c r="O178" s="57">
        <v>0.468</v>
      </c>
      <c r="P178" s="24">
        <v>18992.0</v>
      </c>
      <c r="Q178" s="24">
        <v>9574.0</v>
      </c>
      <c r="R178" s="24">
        <v>13393.0</v>
      </c>
      <c r="S178" s="24">
        <v>496.0</v>
      </c>
      <c r="T178" s="24">
        <v>2944.0</v>
      </c>
      <c r="U178" s="24">
        <v>12.4456</v>
      </c>
      <c r="V178" s="24">
        <v>6.2739</v>
      </c>
      <c r="W178" s="24">
        <v>8.7765</v>
      </c>
      <c r="X178" s="24">
        <v>0.325</v>
      </c>
      <c r="Y178" s="24">
        <v>1.9292</v>
      </c>
      <c r="Z178" s="24">
        <v>99.5</v>
      </c>
      <c r="AA178" s="24">
        <v>22.7</v>
      </c>
      <c r="AB178" s="24">
        <v>5.1</v>
      </c>
      <c r="AC178" s="24">
        <v>41.3</v>
      </c>
      <c r="AD178" s="24">
        <v>8.0</v>
      </c>
      <c r="AE178" s="24">
        <v>1.194</v>
      </c>
      <c r="AF178" s="24">
        <v>1.779661</v>
      </c>
      <c r="AG178" s="24">
        <v>1.2</v>
      </c>
      <c r="AH178" s="24">
        <v>1.098039</v>
      </c>
      <c r="AI178" s="24">
        <v>1.185022</v>
      </c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</row>
    <row r="179">
      <c r="A179" s="51" t="s">
        <v>62</v>
      </c>
      <c r="B179" s="51" t="s">
        <v>104</v>
      </c>
      <c r="C179" s="24">
        <v>1997.0</v>
      </c>
      <c r="D179" s="24">
        <v>0.07208</v>
      </c>
      <c r="E179" s="52">
        <v>10.8</v>
      </c>
      <c r="F179" s="53">
        <f t="shared" si="1"/>
        <v>0.954396864</v>
      </c>
      <c r="G179" s="52">
        <v>9.033</v>
      </c>
      <c r="H179" s="54">
        <f t="shared" si="2"/>
        <v>0.7961158868</v>
      </c>
      <c r="I179" s="52">
        <v>4.467</v>
      </c>
      <c r="J179" s="54">
        <f t="shared" si="3"/>
        <v>0.5758060277</v>
      </c>
      <c r="K179" s="55">
        <v>2.254545455</v>
      </c>
      <c r="L179" s="54">
        <f t="shared" si="4"/>
        <v>0.1902528902</v>
      </c>
      <c r="M179" s="55">
        <v>0.363636364</v>
      </c>
      <c r="N179" s="56">
        <f t="shared" si="5"/>
        <v>0.02995532096</v>
      </c>
      <c r="O179" s="57">
        <v>0.494</v>
      </c>
      <c r="P179" s="24">
        <v>18992.0</v>
      </c>
      <c r="Q179" s="24">
        <v>9574.0</v>
      </c>
      <c r="R179" s="24">
        <v>13393.0</v>
      </c>
      <c r="S179" s="24">
        <v>496.0</v>
      </c>
      <c r="T179" s="24">
        <v>2944.0</v>
      </c>
      <c r="U179" s="24">
        <v>12.4456</v>
      </c>
      <c r="V179" s="24">
        <v>6.2739</v>
      </c>
      <c r="W179" s="24">
        <v>8.7765</v>
      </c>
      <c r="X179" s="24">
        <v>0.325</v>
      </c>
      <c r="Y179" s="24">
        <v>1.9292</v>
      </c>
      <c r="Z179" s="24">
        <v>96.9</v>
      </c>
      <c r="AA179" s="24">
        <v>22.0</v>
      </c>
      <c r="AB179" s="24">
        <v>4.9</v>
      </c>
      <c r="AC179" s="24">
        <v>41.1</v>
      </c>
      <c r="AD179" s="24">
        <v>8.2</v>
      </c>
      <c r="AE179" s="24">
        <v>1.226</v>
      </c>
      <c r="AF179" s="24">
        <v>1.788321</v>
      </c>
      <c r="AG179" s="24">
        <v>1.170732</v>
      </c>
      <c r="AH179" s="24">
        <v>1.142857</v>
      </c>
      <c r="AI179" s="24">
        <v>1.222727</v>
      </c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</row>
    <row r="180">
      <c r="A180" s="51" t="s">
        <v>62</v>
      </c>
      <c r="B180" s="51" t="s">
        <v>104</v>
      </c>
      <c r="C180" s="24">
        <v>1998.0</v>
      </c>
      <c r="D180" s="24">
        <v>0.05374</v>
      </c>
      <c r="E180" s="52">
        <v>11.6</v>
      </c>
      <c r="F180" s="53">
        <f t="shared" si="1"/>
        <v>0.7746792968</v>
      </c>
      <c r="G180" s="52">
        <v>9.1</v>
      </c>
      <c r="H180" s="54">
        <f t="shared" si="2"/>
        <v>0.5979550757</v>
      </c>
      <c r="I180" s="52">
        <v>6.2</v>
      </c>
      <c r="J180" s="54">
        <f t="shared" si="3"/>
        <v>0.5901039358</v>
      </c>
      <c r="K180" s="55">
        <v>2.963414634</v>
      </c>
      <c r="L180" s="54">
        <f t="shared" si="4"/>
        <v>0.1820044372</v>
      </c>
      <c r="M180" s="55">
        <v>0.475609756</v>
      </c>
      <c r="N180" s="56">
        <f t="shared" si="5"/>
        <v>0.02806507339</v>
      </c>
      <c r="O180" s="57">
        <v>0.502</v>
      </c>
      <c r="P180" s="24">
        <v>18992.0</v>
      </c>
      <c r="Q180" s="24">
        <v>9574.0</v>
      </c>
      <c r="R180" s="24">
        <v>13393.0</v>
      </c>
      <c r="S180" s="24">
        <v>496.0</v>
      </c>
      <c r="T180" s="24">
        <v>2944.0</v>
      </c>
      <c r="U180" s="24">
        <v>12.4456</v>
      </c>
      <c r="V180" s="24">
        <v>6.2739</v>
      </c>
      <c r="W180" s="24">
        <v>8.7765</v>
      </c>
      <c r="X180" s="24">
        <v>0.325</v>
      </c>
      <c r="Y180" s="24">
        <v>1.9292</v>
      </c>
      <c r="Z180" s="24">
        <v>95.6</v>
      </c>
      <c r="AA180" s="24">
        <v>22.0</v>
      </c>
      <c r="AB180" s="24">
        <v>5.1</v>
      </c>
      <c r="AC180" s="24">
        <v>41.5</v>
      </c>
      <c r="AD180" s="24">
        <v>8.4</v>
      </c>
      <c r="AE180" s="24">
        <v>1.2427</v>
      </c>
      <c r="AF180" s="24">
        <v>1.771084</v>
      </c>
      <c r="AG180" s="24">
        <v>1.142857</v>
      </c>
      <c r="AH180" s="24">
        <v>1.098039</v>
      </c>
      <c r="AI180" s="24">
        <v>1.222727</v>
      </c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</row>
    <row r="181">
      <c r="A181" s="51" t="s">
        <v>62</v>
      </c>
      <c r="B181" s="51" t="s">
        <v>104</v>
      </c>
      <c r="C181" s="24">
        <v>1999.0</v>
      </c>
      <c r="D181" s="24">
        <v>0.03277</v>
      </c>
      <c r="E181" s="52">
        <v>16.9</v>
      </c>
      <c r="F181" s="53">
        <f t="shared" si="1"/>
        <v>0.7182400797</v>
      </c>
      <c r="G181" s="52">
        <v>10.8</v>
      </c>
      <c r="H181" s="54">
        <f t="shared" si="2"/>
        <v>0.4599198586</v>
      </c>
      <c r="I181" s="52">
        <v>6.8</v>
      </c>
      <c r="J181" s="54">
        <f t="shared" si="3"/>
        <v>0.3927685052</v>
      </c>
      <c r="K181" s="55">
        <v>3.42</v>
      </c>
      <c r="L181" s="54">
        <f t="shared" si="4"/>
        <v>0.1280838697</v>
      </c>
      <c r="M181" s="55">
        <v>0.57</v>
      </c>
      <c r="N181" s="56">
        <f t="shared" si="5"/>
        <v>0.020920368</v>
      </c>
      <c r="O181" s="57">
        <v>0.527</v>
      </c>
      <c r="P181" s="24">
        <v>18992.0</v>
      </c>
      <c r="Q181" s="24">
        <v>9574.0</v>
      </c>
      <c r="R181" s="24">
        <v>13393.0</v>
      </c>
      <c r="S181" s="24">
        <v>496.0</v>
      </c>
      <c r="T181" s="24">
        <v>2944.0</v>
      </c>
      <c r="U181" s="24">
        <v>12.4456</v>
      </c>
      <c r="V181" s="24">
        <v>6.2739</v>
      </c>
      <c r="W181" s="24">
        <v>8.7765</v>
      </c>
      <c r="X181" s="24">
        <v>0.325</v>
      </c>
      <c r="Y181" s="24">
        <v>1.9292</v>
      </c>
      <c r="Z181" s="24">
        <v>91.6</v>
      </c>
      <c r="AA181" s="24">
        <v>20.7</v>
      </c>
      <c r="AB181" s="24">
        <v>5.0</v>
      </c>
      <c r="AC181" s="24">
        <v>41.7</v>
      </c>
      <c r="AD181" s="24">
        <v>8.4</v>
      </c>
      <c r="AE181" s="24">
        <v>1.2969</v>
      </c>
      <c r="AF181" s="24">
        <v>1.76259</v>
      </c>
      <c r="AG181" s="24">
        <v>1.142857</v>
      </c>
      <c r="AH181" s="24">
        <v>1.12</v>
      </c>
      <c r="AI181" s="24">
        <v>1.299517</v>
      </c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</row>
    <row r="182">
      <c r="A182" s="51" t="s">
        <v>62</v>
      </c>
      <c r="B182" s="51" t="s">
        <v>104</v>
      </c>
      <c r="C182" s="24">
        <v>2000.0</v>
      </c>
      <c r="D182" s="24">
        <v>0.04391</v>
      </c>
      <c r="E182" s="52">
        <v>14.3</v>
      </c>
      <c r="F182" s="53">
        <f t="shared" si="1"/>
        <v>0.7651119905</v>
      </c>
      <c r="G182" s="52">
        <v>10.1</v>
      </c>
      <c r="H182" s="54">
        <f t="shared" si="2"/>
        <v>0.5349734365</v>
      </c>
      <c r="I182" s="52">
        <v>7.2</v>
      </c>
      <c r="J182" s="54">
        <f t="shared" si="3"/>
        <v>0.5416591116</v>
      </c>
      <c r="K182" s="55">
        <v>3.0</v>
      </c>
      <c r="L182" s="54">
        <f t="shared" si="4"/>
        <v>0.1600769787</v>
      </c>
      <c r="M182" s="55">
        <v>0.626865672</v>
      </c>
      <c r="N182" s="56">
        <f t="shared" si="5"/>
        <v>0.0296430289</v>
      </c>
      <c r="O182" s="57">
        <v>0.498</v>
      </c>
      <c r="P182" s="24">
        <v>18992.0</v>
      </c>
      <c r="Q182" s="24">
        <v>9574.0</v>
      </c>
      <c r="R182" s="24">
        <v>13393.0</v>
      </c>
      <c r="S182" s="24">
        <v>496.0</v>
      </c>
      <c r="T182" s="24">
        <v>2944.0</v>
      </c>
      <c r="U182" s="24">
        <v>12.4456</v>
      </c>
      <c r="V182" s="24">
        <v>6.2739</v>
      </c>
      <c r="W182" s="24">
        <v>8.7765</v>
      </c>
      <c r="X182" s="24">
        <v>0.325</v>
      </c>
      <c r="Y182" s="24">
        <v>1.9292</v>
      </c>
      <c r="Z182" s="24">
        <v>97.5</v>
      </c>
      <c r="AA182" s="24">
        <v>22.3</v>
      </c>
      <c r="AB182" s="24">
        <v>5.2</v>
      </c>
      <c r="AC182" s="24">
        <v>42.9</v>
      </c>
      <c r="AD182" s="24">
        <v>7.9</v>
      </c>
      <c r="AE182" s="24">
        <v>1.2185</v>
      </c>
      <c r="AF182" s="24">
        <v>1.713287</v>
      </c>
      <c r="AG182" s="24">
        <v>1.21519</v>
      </c>
      <c r="AH182" s="24">
        <v>1.076923</v>
      </c>
      <c r="AI182" s="24">
        <v>1.206278</v>
      </c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</row>
    <row r="183">
      <c r="A183" s="51" t="s">
        <v>62</v>
      </c>
      <c r="B183" s="51" t="s">
        <v>104</v>
      </c>
      <c r="C183" s="24">
        <v>2001.0</v>
      </c>
      <c r="D183" s="24">
        <v>0.05046</v>
      </c>
      <c r="E183" s="52">
        <v>16.9</v>
      </c>
      <c r="F183" s="53">
        <f t="shared" si="1"/>
        <v>1.068696377</v>
      </c>
      <c r="G183" s="52">
        <v>9.8</v>
      </c>
      <c r="H183" s="54">
        <f t="shared" si="2"/>
        <v>0.6101956741</v>
      </c>
      <c r="I183" s="52">
        <v>6.4</v>
      </c>
      <c r="J183" s="54">
        <f t="shared" si="3"/>
        <v>0.5585032289</v>
      </c>
      <c r="K183" s="55">
        <v>3.233766234</v>
      </c>
      <c r="L183" s="54">
        <f t="shared" si="4"/>
        <v>0.2008317706</v>
      </c>
      <c r="M183" s="55">
        <v>0.448051948</v>
      </c>
      <c r="N183" s="56">
        <f t="shared" si="5"/>
        <v>0.02388844422</v>
      </c>
      <c r="O183" s="57">
        <v>0.51</v>
      </c>
      <c r="P183" s="24">
        <v>18992.0</v>
      </c>
      <c r="Q183" s="24">
        <v>9574.0</v>
      </c>
      <c r="R183" s="24">
        <v>13393.0</v>
      </c>
      <c r="S183" s="24">
        <v>496.0</v>
      </c>
      <c r="T183" s="24">
        <v>2944.0</v>
      </c>
      <c r="U183" s="24">
        <v>12.4456</v>
      </c>
      <c r="V183" s="24">
        <v>6.2739</v>
      </c>
      <c r="W183" s="24">
        <v>8.7765</v>
      </c>
      <c r="X183" s="24">
        <v>0.325</v>
      </c>
      <c r="Y183" s="24">
        <v>1.9292</v>
      </c>
      <c r="Z183" s="24">
        <v>94.8</v>
      </c>
      <c r="AA183" s="24">
        <v>21.8</v>
      </c>
      <c r="AB183" s="24">
        <v>5.3</v>
      </c>
      <c r="AC183" s="24">
        <v>42.5</v>
      </c>
      <c r="AD183" s="24">
        <v>7.8</v>
      </c>
      <c r="AE183" s="24">
        <v>1.2532</v>
      </c>
      <c r="AF183" s="24">
        <v>1.729412</v>
      </c>
      <c r="AG183" s="24">
        <v>1.230769</v>
      </c>
      <c r="AH183" s="24">
        <v>1.056604</v>
      </c>
      <c r="AI183" s="24">
        <v>1.233945</v>
      </c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</row>
    <row r="184">
      <c r="A184" s="51" t="s">
        <v>62</v>
      </c>
      <c r="B184" s="51" t="s">
        <v>104</v>
      </c>
      <c r="C184" s="24">
        <v>2002.0</v>
      </c>
      <c r="D184" s="24">
        <v>0.05374</v>
      </c>
      <c r="E184" s="52">
        <v>14.7</v>
      </c>
      <c r="F184" s="53">
        <f t="shared" si="1"/>
        <v>0.982732632</v>
      </c>
      <c r="G184" s="52">
        <v>9.9</v>
      </c>
      <c r="H184" s="54">
        <f t="shared" si="2"/>
        <v>0.6534933881</v>
      </c>
      <c r="I184" s="52">
        <v>7.3</v>
      </c>
      <c r="J184" s="54">
        <f t="shared" si="3"/>
        <v>0.6800519863</v>
      </c>
      <c r="K184" s="55">
        <v>3.201219512</v>
      </c>
      <c r="L184" s="54">
        <f t="shared" si="4"/>
        <v>0.2117335438</v>
      </c>
      <c r="M184" s="55">
        <v>0.365853659</v>
      </c>
      <c r="N184" s="56">
        <f t="shared" si="5"/>
        <v>0.02117335686</v>
      </c>
      <c r="O184" s="57">
        <v>0.484</v>
      </c>
      <c r="P184" s="24">
        <v>18992.0</v>
      </c>
      <c r="Q184" s="24">
        <v>9574.0</v>
      </c>
      <c r="R184" s="24">
        <v>13393.0</v>
      </c>
      <c r="S184" s="24">
        <v>496.0</v>
      </c>
      <c r="T184" s="24">
        <v>2944.0</v>
      </c>
      <c r="U184" s="24">
        <v>12.4456</v>
      </c>
      <c r="V184" s="24">
        <v>6.2739</v>
      </c>
      <c r="W184" s="24">
        <v>8.7765</v>
      </c>
      <c r="X184" s="24">
        <v>0.325</v>
      </c>
      <c r="Y184" s="24">
        <v>1.9292</v>
      </c>
      <c r="Z184" s="24">
        <v>95.5</v>
      </c>
      <c r="AA184" s="24">
        <v>21.9</v>
      </c>
      <c r="AB184" s="24">
        <v>5.2</v>
      </c>
      <c r="AC184" s="24">
        <v>42.4</v>
      </c>
      <c r="AD184" s="24">
        <v>7.8</v>
      </c>
      <c r="AE184" s="24">
        <v>1.244</v>
      </c>
      <c r="AF184" s="24">
        <v>1.733491</v>
      </c>
      <c r="AG184" s="24">
        <v>1.230769</v>
      </c>
      <c r="AH184" s="24">
        <v>1.076923</v>
      </c>
      <c r="AI184" s="24">
        <v>1.228311</v>
      </c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</row>
    <row r="185">
      <c r="A185" s="51" t="s">
        <v>62</v>
      </c>
      <c r="B185" s="51" t="s">
        <v>104</v>
      </c>
      <c r="C185" s="24">
        <v>2003.0</v>
      </c>
      <c r="D185" s="24">
        <v>0.05242</v>
      </c>
      <c r="E185" s="52">
        <v>18.7</v>
      </c>
      <c r="F185" s="53">
        <f t="shared" si="1"/>
        <v>1.224533297</v>
      </c>
      <c r="G185" s="52">
        <v>8.9</v>
      </c>
      <c r="H185" s="54">
        <f t="shared" si="2"/>
        <v>0.5837150837</v>
      </c>
      <c r="I185" s="52">
        <v>6.3</v>
      </c>
      <c r="J185" s="54">
        <f t="shared" si="3"/>
        <v>0.5738318169</v>
      </c>
      <c r="K185" s="55">
        <v>3.35625</v>
      </c>
      <c r="L185" s="54">
        <f t="shared" si="4"/>
        <v>0.213793997</v>
      </c>
      <c r="M185" s="55">
        <v>0.46875</v>
      </c>
      <c r="N185" s="56">
        <f t="shared" si="5"/>
        <v>0.0275205</v>
      </c>
      <c r="O185" s="57">
        <v>0.526</v>
      </c>
      <c r="P185" s="24">
        <v>18992.0</v>
      </c>
      <c r="Q185" s="24">
        <v>9574.0</v>
      </c>
      <c r="R185" s="24">
        <v>13393.0</v>
      </c>
      <c r="S185" s="24">
        <v>496.0</v>
      </c>
      <c r="T185" s="24">
        <v>2944.0</v>
      </c>
      <c r="U185" s="24">
        <v>12.4456</v>
      </c>
      <c r="V185" s="24">
        <v>6.2739</v>
      </c>
      <c r="W185" s="24">
        <v>8.7765</v>
      </c>
      <c r="X185" s="24">
        <v>0.325</v>
      </c>
      <c r="Y185" s="24">
        <v>1.9292</v>
      </c>
      <c r="Z185" s="24">
        <v>95.1</v>
      </c>
      <c r="AA185" s="24">
        <v>21.5</v>
      </c>
      <c r="AB185" s="24">
        <v>5.0</v>
      </c>
      <c r="AC185" s="24">
        <v>42.3</v>
      </c>
      <c r="AD185" s="24">
        <v>7.9</v>
      </c>
      <c r="AE185" s="24">
        <v>1.2492</v>
      </c>
      <c r="AF185" s="24">
        <v>1.737589</v>
      </c>
      <c r="AG185" s="24">
        <v>1.21519</v>
      </c>
      <c r="AH185" s="24">
        <v>1.12</v>
      </c>
      <c r="AI185" s="24">
        <v>1.251163</v>
      </c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</row>
    <row r="186">
      <c r="A186" s="51" t="s">
        <v>62</v>
      </c>
      <c r="B186" s="51" t="s">
        <v>104</v>
      </c>
      <c r="C186" s="24">
        <v>2004.0</v>
      </c>
      <c r="D186" s="24">
        <v>0.04391</v>
      </c>
      <c r="E186" s="52">
        <v>15.5</v>
      </c>
      <c r="F186" s="53">
        <f t="shared" si="1"/>
        <v>0.8656614995</v>
      </c>
      <c r="G186" s="52">
        <v>9.2</v>
      </c>
      <c r="H186" s="54">
        <f t="shared" si="2"/>
        <v>0.5101806825</v>
      </c>
      <c r="I186" s="52">
        <v>6.4</v>
      </c>
      <c r="J186" s="54">
        <f t="shared" si="3"/>
        <v>0.4894611869</v>
      </c>
      <c r="K186" s="55">
        <v>2.731343284</v>
      </c>
      <c r="L186" s="54">
        <f t="shared" si="4"/>
        <v>0.1457417269</v>
      </c>
      <c r="M186" s="55">
        <v>0.313432836</v>
      </c>
      <c r="N186" s="56">
        <f t="shared" si="5"/>
        <v>0.01511213049</v>
      </c>
      <c r="O186" s="57">
        <v>0.485</v>
      </c>
      <c r="P186" s="24">
        <v>18992.0</v>
      </c>
      <c r="Q186" s="24">
        <v>9574.0</v>
      </c>
      <c r="R186" s="24">
        <v>13393.0</v>
      </c>
      <c r="S186" s="24">
        <v>496.0</v>
      </c>
      <c r="T186" s="24">
        <v>2944.0</v>
      </c>
      <c r="U186" s="24">
        <v>12.4456</v>
      </c>
      <c r="V186" s="24">
        <v>6.2739</v>
      </c>
      <c r="W186" s="24">
        <v>8.7765</v>
      </c>
      <c r="X186" s="24">
        <v>0.325</v>
      </c>
      <c r="Y186" s="24">
        <v>1.9292</v>
      </c>
      <c r="Z186" s="24">
        <v>93.4</v>
      </c>
      <c r="AA186" s="24">
        <v>21.3</v>
      </c>
      <c r="AB186" s="24">
        <v>5.1</v>
      </c>
      <c r="AC186" s="24">
        <v>42.2</v>
      </c>
      <c r="AD186" s="24">
        <v>7.9</v>
      </c>
      <c r="AE186" s="24">
        <v>1.2719</v>
      </c>
      <c r="AF186" s="24">
        <v>1.741706</v>
      </c>
      <c r="AG186" s="24">
        <v>1.21519</v>
      </c>
      <c r="AH186" s="24">
        <v>1.098039</v>
      </c>
      <c r="AI186" s="24">
        <v>1.262911</v>
      </c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</row>
    <row r="187">
      <c r="A187" s="51" t="s">
        <v>62</v>
      </c>
      <c r="B187" s="51" t="s">
        <v>104</v>
      </c>
      <c r="C187" s="24">
        <v>2005.0</v>
      </c>
      <c r="D187" s="24">
        <v>0.04325</v>
      </c>
      <c r="E187" s="52">
        <v>14.4</v>
      </c>
      <c r="F187" s="53">
        <f t="shared" si="1"/>
        <v>0.76118616</v>
      </c>
      <c r="G187" s="52">
        <v>8.3</v>
      </c>
      <c r="H187" s="54">
        <f t="shared" si="2"/>
        <v>0.4533534762</v>
      </c>
      <c r="I187" s="52">
        <v>7.4</v>
      </c>
      <c r="J187" s="54">
        <f t="shared" si="3"/>
        <v>0.5614243489</v>
      </c>
      <c r="K187" s="55">
        <v>2.795454545</v>
      </c>
      <c r="L187" s="54">
        <f t="shared" si="4"/>
        <v>0.1547563636</v>
      </c>
      <c r="M187" s="55">
        <v>0.204545455</v>
      </c>
      <c r="N187" s="56">
        <f t="shared" si="5"/>
        <v>0.01011038837</v>
      </c>
      <c r="O187" s="57">
        <v>0.506</v>
      </c>
      <c r="P187" s="24">
        <v>18992.0</v>
      </c>
      <c r="Q187" s="24">
        <v>9574.0</v>
      </c>
      <c r="R187" s="24">
        <v>13393.0</v>
      </c>
      <c r="S187" s="24">
        <v>496.0</v>
      </c>
      <c r="T187" s="24">
        <v>2944.0</v>
      </c>
      <c r="U187" s="24">
        <v>12.4456</v>
      </c>
      <c r="V187" s="24">
        <v>6.2739</v>
      </c>
      <c r="W187" s="24">
        <v>8.7765</v>
      </c>
      <c r="X187" s="24">
        <v>0.325</v>
      </c>
      <c r="Y187" s="24">
        <v>1.9292</v>
      </c>
      <c r="Z187" s="24">
        <v>97.2</v>
      </c>
      <c r="AA187" s="24">
        <v>21.3</v>
      </c>
      <c r="AB187" s="24">
        <v>4.9</v>
      </c>
      <c r="AC187" s="24">
        <v>41.9</v>
      </c>
      <c r="AD187" s="24">
        <v>7.5</v>
      </c>
      <c r="AE187" s="24">
        <v>1.2222</v>
      </c>
      <c r="AF187" s="24">
        <v>1.754177</v>
      </c>
      <c r="AG187" s="24">
        <v>1.28</v>
      </c>
      <c r="AH187" s="24">
        <v>1.142857</v>
      </c>
      <c r="AI187" s="24">
        <v>1.262911</v>
      </c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</row>
    <row r="188">
      <c r="A188" s="51" t="s">
        <v>62</v>
      </c>
      <c r="B188" s="51" t="s">
        <v>104</v>
      </c>
      <c r="C188" s="24">
        <v>2006.0</v>
      </c>
      <c r="D188" s="24">
        <v>0.05242</v>
      </c>
      <c r="E188" s="52">
        <v>13.3</v>
      </c>
      <c r="F188" s="53">
        <f t="shared" si="1"/>
        <v>0.8538436942</v>
      </c>
      <c r="G188" s="52">
        <v>8.4</v>
      </c>
      <c r="H188" s="54">
        <f t="shared" si="2"/>
        <v>0.5749913106</v>
      </c>
      <c r="I188" s="52">
        <v>7.3</v>
      </c>
      <c r="J188" s="54">
        <f t="shared" si="3"/>
        <v>0.6859988329</v>
      </c>
      <c r="K188" s="55">
        <v>2.8125</v>
      </c>
      <c r="L188" s="54">
        <f t="shared" si="4"/>
        <v>0.1965749509</v>
      </c>
      <c r="M188" s="55">
        <v>0.54375</v>
      </c>
      <c r="N188" s="56">
        <f t="shared" si="5"/>
        <v>0.03396145778</v>
      </c>
      <c r="O188" s="57">
        <v>0.526</v>
      </c>
      <c r="P188" s="24">
        <v>18992.0</v>
      </c>
      <c r="Q188" s="24">
        <v>9574.0</v>
      </c>
      <c r="R188" s="24">
        <v>13393.0</v>
      </c>
      <c r="S188" s="24">
        <v>496.0</v>
      </c>
      <c r="T188" s="24">
        <v>2944.0</v>
      </c>
      <c r="U188" s="24">
        <v>12.4456</v>
      </c>
      <c r="V188" s="24">
        <v>6.2739</v>
      </c>
      <c r="W188" s="24">
        <v>8.7765</v>
      </c>
      <c r="X188" s="24">
        <v>0.325</v>
      </c>
      <c r="Y188" s="24">
        <v>1.9292</v>
      </c>
      <c r="Z188" s="24">
        <v>97.0</v>
      </c>
      <c r="AA188" s="24">
        <v>20.6</v>
      </c>
      <c r="AB188" s="24">
        <v>4.7</v>
      </c>
      <c r="AC188" s="24">
        <v>41.0</v>
      </c>
      <c r="AD188" s="24">
        <v>7.2</v>
      </c>
      <c r="AE188" s="24">
        <v>1.2247</v>
      </c>
      <c r="AF188" s="24">
        <v>1.792683</v>
      </c>
      <c r="AG188" s="24">
        <v>1.333333</v>
      </c>
      <c r="AH188" s="24">
        <v>1.191489</v>
      </c>
      <c r="AI188" s="24">
        <v>1.305825</v>
      </c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</row>
    <row r="189">
      <c r="A189" s="51" t="s">
        <v>62</v>
      </c>
      <c r="B189" s="51" t="s">
        <v>104</v>
      </c>
      <c r="C189" s="24">
        <v>2007.0</v>
      </c>
      <c r="D189" s="24">
        <v>0.05242</v>
      </c>
      <c r="E189" s="52">
        <v>13.0</v>
      </c>
      <c r="F189" s="53">
        <f t="shared" si="1"/>
        <v>0.820205256</v>
      </c>
      <c r="G189" s="52">
        <v>9.2</v>
      </c>
      <c r="H189" s="54">
        <f t="shared" si="2"/>
        <v>0.6090565105</v>
      </c>
      <c r="I189" s="52">
        <v>8.2</v>
      </c>
      <c r="J189" s="54">
        <f t="shared" si="3"/>
        <v>0.7686990519</v>
      </c>
      <c r="K189" s="55">
        <v>2.38125</v>
      </c>
      <c r="L189" s="54">
        <f t="shared" si="4"/>
        <v>0.1664334584</v>
      </c>
      <c r="M189" s="55">
        <v>0.43125</v>
      </c>
      <c r="N189" s="56">
        <f t="shared" si="5"/>
        <v>0.02752049312</v>
      </c>
      <c r="O189" s="57">
        <v>0.516</v>
      </c>
      <c r="P189" s="24">
        <v>18992.0</v>
      </c>
      <c r="Q189" s="24">
        <v>9574.0</v>
      </c>
      <c r="R189" s="24">
        <v>13393.0</v>
      </c>
      <c r="S189" s="24">
        <v>496.0</v>
      </c>
      <c r="T189" s="24">
        <v>2944.0</v>
      </c>
      <c r="U189" s="24">
        <v>12.4456</v>
      </c>
      <c r="V189" s="24">
        <v>6.2739</v>
      </c>
      <c r="W189" s="24">
        <v>8.7765</v>
      </c>
      <c r="X189" s="24">
        <v>0.325</v>
      </c>
      <c r="Y189" s="24">
        <v>1.9292</v>
      </c>
      <c r="Z189" s="24">
        <v>98.7</v>
      </c>
      <c r="AA189" s="24">
        <v>21.3</v>
      </c>
      <c r="AB189" s="24">
        <v>4.6</v>
      </c>
      <c r="AC189" s="24">
        <v>41.1</v>
      </c>
      <c r="AD189" s="24">
        <v>7.2</v>
      </c>
      <c r="AE189" s="24">
        <v>1.2036</v>
      </c>
      <c r="AF189" s="24">
        <v>1.788321</v>
      </c>
      <c r="AG189" s="24">
        <v>1.333333</v>
      </c>
      <c r="AH189" s="24">
        <v>1.217391</v>
      </c>
      <c r="AI189" s="24">
        <v>1.262911</v>
      </c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</row>
    <row r="190">
      <c r="A190" s="51" t="s">
        <v>62</v>
      </c>
      <c r="B190" s="51" t="s">
        <v>104</v>
      </c>
      <c r="C190" s="24">
        <v>2008.0</v>
      </c>
      <c r="D190" s="24">
        <v>0.10485</v>
      </c>
      <c r="E190" s="52">
        <v>10.667</v>
      </c>
      <c r="F190" s="53">
        <f t="shared" si="1"/>
        <v>1.330042843</v>
      </c>
      <c r="G190" s="52">
        <v>10.0</v>
      </c>
      <c r="H190" s="54">
        <f t="shared" si="2"/>
        <v>1.293791333</v>
      </c>
      <c r="I190" s="52">
        <v>7.367</v>
      </c>
      <c r="J190" s="54">
        <f t="shared" si="3"/>
        <v>1.351752413</v>
      </c>
      <c r="K190" s="55">
        <v>1.7</v>
      </c>
      <c r="L190" s="54">
        <f t="shared" si="4"/>
        <v>0.2344042957</v>
      </c>
      <c r="M190" s="55">
        <v>0.325</v>
      </c>
      <c r="N190" s="56">
        <f t="shared" si="5"/>
        <v>0.04060147704</v>
      </c>
      <c r="O190" s="57">
        <v>0.506</v>
      </c>
      <c r="P190" s="24">
        <v>18992.0</v>
      </c>
      <c r="Q190" s="24">
        <v>9574.0</v>
      </c>
      <c r="R190" s="24">
        <v>13393.0</v>
      </c>
      <c r="S190" s="24">
        <v>496.0</v>
      </c>
      <c r="T190" s="24">
        <v>2944.0</v>
      </c>
      <c r="U190" s="24">
        <v>12.4456</v>
      </c>
      <c r="V190" s="24">
        <v>6.2739</v>
      </c>
      <c r="W190" s="24">
        <v>8.7765</v>
      </c>
      <c r="X190" s="24">
        <v>0.325</v>
      </c>
      <c r="Y190" s="24">
        <v>1.9292</v>
      </c>
      <c r="Z190" s="24">
        <v>99.9</v>
      </c>
      <c r="AA190" s="24">
        <v>21.8</v>
      </c>
      <c r="AB190" s="24">
        <v>4.7</v>
      </c>
      <c r="AC190" s="24">
        <v>42.0</v>
      </c>
      <c r="AD190" s="24">
        <v>7.3</v>
      </c>
      <c r="AE190" s="24">
        <v>1.1892</v>
      </c>
      <c r="AF190" s="24">
        <v>1.75</v>
      </c>
      <c r="AG190" s="24">
        <v>1.315068</v>
      </c>
      <c r="AH190" s="24">
        <v>1.191489</v>
      </c>
      <c r="AI190" s="24">
        <v>1.233945</v>
      </c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</row>
    <row r="191">
      <c r="A191" s="51" t="s">
        <v>62</v>
      </c>
      <c r="B191" s="51" t="s">
        <v>104</v>
      </c>
      <c r="C191" s="24">
        <v>2009.0</v>
      </c>
      <c r="D191" s="24">
        <v>0.05308</v>
      </c>
      <c r="E191" s="52">
        <v>9.0</v>
      </c>
      <c r="F191" s="53">
        <f t="shared" si="1"/>
        <v>0.56753136</v>
      </c>
      <c r="G191" s="52">
        <v>8.7</v>
      </c>
      <c r="H191" s="54">
        <f t="shared" si="2"/>
        <v>0.5915385098</v>
      </c>
      <c r="I191" s="52">
        <v>6.2</v>
      </c>
      <c r="J191" s="54">
        <f t="shared" si="3"/>
        <v>0.5856793165</v>
      </c>
      <c r="K191" s="55">
        <v>2.962962963</v>
      </c>
      <c r="L191" s="54">
        <f t="shared" si="4"/>
        <v>0.206826102</v>
      </c>
      <c r="M191" s="55">
        <v>0.722222222</v>
      </c>
      <c r="N191" s="56">
        <f t="shared" si="5"/>
        <v>0.04472482758</v>
      </c>
      <c r="O191" s="57">
        <v>0.55</v>
      </c>
      <c r="P191" s="24">
        <v>18992.0</v>
      </c>
      <c r="Q191" s="24">
        <v>9574.0</v>
      </c>
      <c r="R191" s="24">
        <v>13393.0</v>
      </c>
      <c r="S191" s="24">
        <v>496.0</v>
      </c>
      <c r="T191" s="24">
        <v>2944.0</v>
      </c>
      <c r="U191" s="24">
        <v>12.4456</v>
      </c>
      <c r="V191" s="24">
        <v>6.2739</v>
      </c>
      <c r="W191" s="24">
        <v>8.7765</v>
      </c>
      <c r="X191" s="24">
        <v>0.325</v>
      </c>
      <c r="Y191" s="24">
        <v>1.9292</v>
      </c>
      <c r="Z191" s="24">
        <v>100.0</v>
      </c>
      <c r="AA191" s="24">
        <v>21.0</v>
      </c>
      <c r="AB191" s="24">
        <v>4.8</v>
      </c>
      <c r="AC191" s="24">
        <v>41.3</v>
      </c>
      <c r="AD191" s="24">
        <v>7.3</v>
      </c>
      <c r="AE191" s="24">
        <v>1.188</v>
      </c>
      <c r="AF191" s="24">
        <v>1.779661</v>
      </c>
      <c r="AG191" s="24">
        <v>1.315068</v>
      </c>
      <c r="AH191" s="24">
        <v>1.166667</v>
      </c>
      <c r="AI191" s="24">
        <v>1.280952</v>
      </c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</row>
    <row r="192">
      <c r="A192" s="51" t="s">
        <v>62</v>
      </c>
      <c r="B192" s="51" t="s">
        <v>104</v>
      </c>
      <c r="C192" s="24">
        <v>2010.0</v>
      </c>
      <c r="D192" s="24">
        <v>0.05242</v>
      </c>
      <c r="E192" s="52">
        <v>10.3</v>
      </c>
      <c r="F192" s="53">
        <f t="shared" si="1"/>
        <v>0.6388944358</v>
      </c>
      <c r="G192" s="52">
        <v>9.1</v>
      </c>
      <c r="H192" s="54">
        <f t="shared" si="2"/>
        <v>0.6052779511</v>
      </c>
      <c r="I192" s="52">
        <v>5.6</v>
      </c>
      <c r="J192" s="54">
        <f t="shared" si="3"/>
        <v>0.5174118197</v>
      </c>
      <c r="K192" s="55">
        <v>2.71875</v>
      </c>
      <c r="L192" s="54">
        <f t="shared" si="4"/>
        <v>0.1900224525</v>
      </c>
      <c r="M192" s="55">
        <v>0.65625</v>
      </c>
      <c r="N192" s="56">
        <f t="shared" si="5"/>
        <v>0.03931499509</v>
      </c>
      <c r="O192" s="57">
        <v>0.577</v>
      </c>
      <c r="P192" s="24">
        <v>18992.0</v>
      </c>
      <c r="Q192" s="24">
        <v>9574.0</v>
      </c>
      <c r="R192" s="24">
        <v>13393.0</v>
      </c>
      <c r="S192" s="24">
        <v>496.0</v>
      </c>
      <c r="T192" s="24">
        <v>2944.0</v>
      </c>
      <c r="U192" s="24">
        <v>12.4456</v>
      </c>
      <c r="V192" s="24">
        <v>6.2739</v>
      </c>
      <c r="W192" s="24">
        <v>8.7765</v>
      </c>
      <c r="X192" s="24">
        <v>0.325</v>
      </c>
      <c r="Y192" s="24">
        <v>1.9292</v>
      </c>
      <c r="Z192" s="24">
        <v>100.4</v>
      </c>
      <c r="AA192" s="24">
        <v>21.2</v>
      </c>
      <c r="AB192" s="24">
        <v>4.9</v>
      </c>
      <c r="AC192" s="24">
        <v>41.7</v>
      </c>
      <c r="AD192" s="24">
        <v>7.2</v>
      </c>
      <c r="AE192" s="24">
        <v>1.1833</v>
      </c>
      <c r="AF192" s="24">
        <v>1.76259</v>
      </c>
      <c r="AG192" s="24">
        <v>1.333333</v>
      </c>
      <c r="AH192" s="24">
        <v>1.142857</v>
      </c>
      <c r="AI192" s="24">
        <v>1.268868</v>
      </c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</row>
    <row r="193">
      <c r="A193" s="51" t="s">
        <v>62</v>
      </c>
      <c r="B193" s="51" t="s">
        <v>104</v>
      </c>
      <c r="C193" s="24">
        <v>2011.0</v>
      </c>
      <c r="D193" s="24">
        <v>0.05242</v>
      </c>
      <c r="E193" s="52">
        <v>7.9</v>
      </c>
      <c r="F193" s="53">
        <f t="shared" si="1"/>
        <v>0.4939599504</v>
      </c>
      <c r="G193" s="52">
        <v>8.2</v>
      </c>
      <c r="H193" s="54">
        <f t="shared" si="2"/>
        <v>0.5378049086</v>
      </c>
      <c r="I193" s="52">
        <v>4.4</v>
      </c>
      <c r="J193" s="54">
        <f t="shared" si="3"/>
        <v>0.4094836946</v>
      </c>
      <c r="K193" s="55">
        <v>2.5125</v>
      </c>
      <c r="L193" s="54">
        <f t="shared" si="4"/>
        <v>0.1732013597</v>
      </c>
      <c r="M193" s="55">
        <v>0.54375</v>
      </c>
      <c r="N193" s="56">
        <f t="shared" si="5"/>
        <v>0.03257528164</v>
      </c>
      <c r="O193" s="57">
        <v>0.5</v>
      </c>
      <c r="P193" s="24">
        <v>18992.0</v>
      </c>
      <c r="Q193" s="24">
        <v>9574.0</v>
      </c>
      <c r="R193" s="24">
        <v>13393.0</v>
      </c>
      <c r="S193" s="24">
        <v>496.0</v>
      </c>
      <c r="T193" s="24">
        <v>2944.0</v>
      </c>
      <c r="U193" s="24">
        <v>12.4456</v>
      </c>
      <c r="V193" s="24">
        <v>6.2739</v>
      </c>
      <c r="W193" s="24">
        <v>8.7765</v>
      </c>
      <c r="X193" s="24">
        <v>0.325</v>
      </c>
      <c r="Y193" s="24">
        <v>1.9292</v>
      </c>
      <c r="Z193" s="24">
        <v>99.6</v>
      </c>
      <c r="AA193" s="24">
        <v>21.5</v>
      </c>
      <c r="AB193" s="24">
        <v>4.9</v>
      </c>
      <c r="AC193" s="24">
        <v>41.4</v>
      </c>
      <c r="AD193" s="24">
        <v>7.3</v>
      </c>
      <c r="AE193" s="24">
        <v>1.1928</v>
      </c>
      <c r="AF193" s="24">
        <v>1.775362</v>
      </c>
      <c r="AG193" s="24">
        <v>1.315068</v>
      </c>
      <c r="AH193" s="24">
        <v>1.142857</v>
      </c>
      <c r="AI193" s="24">
        <v>1.251163</v>
      </c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</row>
    <row r="194">
      <c r="A194" s="51" t="s">
        <v>62</v>
      </c>
      <c r="B194" s="51" t="s">
        <v>104</v>
      </c>
      <c r="C194" s="24">
        <v>2012.0</v>
      </c>
      <c r="D194" s="24">
        <v>0.03145</v>
      </c>
      <c r="E194" s="52">
        <v>6.2</v>
      </c>
      <c r="F194" s="53">
        <f t="shared" si="1"/>
        <v>0.240539664</v>
      </c>
      <c r="G194" s="52">
        <v>5.5</v>
      </c>
      <c r="H194" s="54">
        <f t="shared" si="2"/>
        <v>0.2215726722</v>
      </c>
      <c r="I194" s="52">
        <v>4.1</v>
      </c>
      <c r="J194" s="54">
        <f t="shared" si="3"/>
        <v>0.2245842802</v>
      </c>
      <c r="K194" s="55">
        <v>2.5625</v>
      </c>
      <c r="L194" s="54">
        <f t="shared" si="4"/>
        <v>0.1004766035</v>
      </c>
      <c r="M194" s="55">
        <v>0.3125</v>
      </c>
      <c r="N194" s="56">
        <f t="shared" si="5"/>
        <v>0.01079166455</v>
      </c>
      <c r="O194" s="57">
        <v>0.524</v>
      </c>
      <c r="P194" s="24">
        <v>18992.0</v>
      </c>
      <c r="Q194" s="24">
        <v>9574.0</v>
      </c>
      <c r="R194" s="24">
        <v>13393.0</v>
      </c>
      <c r="S194" s="24">
        <v>496.0</v>
      </c>
      <c r="T194" s="24">
        <v>2944.0</v>
      </c>
      <c r="U194" s="24">
        <v>12.4456</v>
      </c>
      <c r="V194" s="24">
        <v>6.2739</v>
      </c>
      <c r="W194" s="24">
        <v>8.7765</v>
      </c>
      <c r="X194" s="24">
        <v>0.325</v>
      </c>
      <c r="Y194" s="24">
        <v>1.9292</v>
      </c>
      <c r="Z194" s="24">
        <v>96.3</v>
      </c>
      <c r="AA194" s="24">
        <v>21.0</v>
      </c>
      <c r="AB194" s="24">
        <v>5.1</v>
      </c>
      <c r="AC194" s="24">
        <v>42.2</v>
      </c>
      <c r="AD194" s="24">
        <v>7.7</v>
      </c>
      <c r="AE194" s="24">
        <v>1.2336</v>
      </c>
      <c r="AF194" s="24">
        <v>1.741706</v>
      </c>
      <c r="AG194" s="24">
        <v>1.246753</v>
      </c>
      <c r="AH194" s="24">
        <v>1.098039</v>
      </c>
      <c r="AI194" s="24">
        <v>1.280952</v>
      </c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</row>
    <row r="195">
      <c r="A195" s="51" t="s">
        <v>62</v>
      </c>
      <c r="B195" s="51" t="s">
        <v>104</v>
      </c>
      <c r="C195" s="24">
        <v>2013.0</v>
      </c>
      <c r="D195" s="24">
        <v>0.0498</v>
      </c>
      <c r="E195" s="52">
        <v>6.0</v>
      </c>
      <c r="F195" s="53">
        <f t="shared" si="1"/>
        <v>0.3618468</v>
      </c>
      <c r="G195" s="52">
        <v>3.3</v>
      </c>
      <c r="H195" s="54">
        <f t="shared" si="2"/>
        <v>0.2000338263</v>
      </c>
      <c r="I195" s="52">
        <v>4.3</v>
      </c>
      <c r="J195" s="54">
        <f t="shared" si="3"/>
        <v>0.37385482</v>
      </c>
      <c r="K195" s="55">
        <v>2.467105263</v>
      </c>
      <c r="L195" s="54">
        <f t="shared" si="4"/>
        <v>0.1512145465</v>
      </c>
      <c r="M195" s="55">
        <v>0.493421053</v>
      </c>
      <c r="N195" s="56">
        <f t="shared" si="5"/>
        <v>0.02698141887</v>
      </c>
      <c r="O195" s="57">
        <v>0.532</v>
      </c>
      <c r="P195" s="24">
        <v>18992.0</v>
      </c>
      <c r="Q195" s="24">
        <v>9574.0</v>
      </c>
      <c r="R195" s="24">
        <v>13393.0</v>
      </c>
      <c r="S195" s="24">
        <v>496.0</v>
      </c>
      <c r="T195" s="24">
        <v>2944.0</v>
      </c>
      <c r="U195" s="24">
        <v>12.4456</v>
      </c>
      <c r="V195" s="24">
        <v>6.2739</v>
      </c>
      <c r="W195" s="24">
        <v>8.7765</v>
      </c>
      <c r="X195" s="24">
        <v>0.325</v>
      </c>
      <c r="Y195" s="24">
        <v>1.9292</v>
      </c>
      <c r="Z195" s="24">
        <v>98.1</v>
      </c>
      <c r="AA195" s="24">
        <v>22.1</v>
      </c>
      <c r="AB195" s="24">
        <v>5.1</v>
      </c>
      <c r="AC195" s="24">
        <v>42.1</v>
      </c>
      <c r="AD195" s="24">
        <v>7.8</v>
      </c>
      <c r="AE195" s="24">
        <v>1.211</v>
      </c>
      <c r="AF195" s="24">
        <v>1.745843</v>
      </c>
      <c r="AG195" s="24">
        <v>1.230769</v>
      </c>
      <c r="AH195" s="24">
        <v>1.098039</v>
      </c>
      <c r="AI195" s="24">
        <v>1.217195</v>
      </c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</row>
    <row r="196">
      <c r="A196" s="51" t="s">
        <v>54</v>
      </c>
      <c r="B196" s="51" t="s">
        <v>104</v>
      </c>
      <c r="C196" s="24">
        <v>1961.0</v>
      </c>
      <c r="D196" s="24">
        <v>0.08476</v>
      </c>
      <c r="E196" s="52">
        <v>17.6</v>
      </c>
      <c r="F196" s="53">
        <f t="shared" si="1"/>
        <v>1.500577478</v>
      </c>
      <c r="G196" s="52">
        <v>4.2</v>
      </c>
      <c r="H196" s="54">
        <f t="shared" si="2"/>
        <v>0.3957100274</v>
      </c>
      <c r="I196" s="52">
        <v>7.7</v>
      </c>
      <c r="J196" s="54">
        <f t="shared" si="3"/>
        <v>0.6544330873</v>
      </c>
      <c r="K196" s="55">
        <v>0.0</v>
      </c>
      <c r="L196" s="54" t="str">
        <f t="shared" si="4"/>
        <v>No Stat</v>
      </c>
      <c r="M196" s="55">
        <v>0.0</v>
      </c>
      <c r="N196" s="56" t="str">
        <f t="shared" si="5"/>
        <v>No Stat</v>
      </c>
      <c r="O196" s="57">
        <v>0.468</v>
      </c>
      <c r="P196" s="24">
        <v>25192.0</v>
      </c>
      <c r="Q196" s="24">
        <v>5366.0</v>
      </c>
      <c r="R196" s="24">
        <v>6238.0</v>
      </c>
      <c r="S196" s="24">
        <v>23.0</v>
      </c>
      <c r="T196" s="24">
        <v>81.0</v>
      </c>
      <c r="U196" s="24">
        <v>27.03</v>
      </c>
      <c r="V196" s="24">
        <v>5.7575</v>
      </c>
      <c r="W196" s="24">
        <v>6.6931</v>
      </c>
      <c r="X196" s="24">
        <v>0.0247</v>
      </c>
      <c r="Y196" s="24">
        <v>0.0869</v>
      </c>
      <c r="Z196" s="24">
        <v>118.1</v>
      </c>
      <c r="AA196" s="24">
        <v>24.2</v>
      </c>
      <c r="AB196" s="25"/>
      <c r="AC196" s="24">
        <v>73.3</v>
      </c>
      <c r="AD196" s="25"/>
      <c r="AE196" s="24">
        <v>1.0059</v>
      </c>
      <c r="AF196" s="24">
        <v>1.002729</v>
      </c>
      <c r="AG196" s="51" t="s">
        <v>108</v>
      </c>
      <c r="AH196" s="51" t="s">
        <v>108</v>
      </c>
      <c r="AI196" s="24">
        <v>1.11157</v>
      </c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</row>
    <row r="197">
      <c r="A197" s="51" t="s">
        <v>54</v>
      </c>
      <c r="B197" s="51" t="s">
        <v>104</v>
      </c>
      <c r="C197" s="24">
        <v>1962.0</v>
      </c>
      <c r="D197" s="24">
        <v>0.08047</v>
      </c>
      <c r="E197" s="52">
        <v>30.8</v>
      </c>
      <c r="F197" s="53">
        <f t="shared" si="1"/>
        <v>2.478476</v>
      </c>
      <c r="G197" s="52">
        <v>5.4</v>
      </c>
      <c r="H197" s="54">
        <f t="shared" si="2"/>
        <v>0.4890825134</v>
      </c>
      <c r="I197" s="52">
        <v>7.9</v>
      </c>
      <c r="J197" s="54">
        <f t="shared" si="3"/>
        <v>0.6544105908</v>
      </c>
      <c r="K197" s="55">
        <v>0.0</v>
      </c>
      <c r="L197" s="54" t="str">
        <f t="shared" si="4"/>
        <v>No Stat</v>
      </c>
      <c r="M197" s="55">
        <v>0.0</v>
      </c>
      <c r="N197" s="56" t="str">
        <f t="shared" si="5"/>
        <v>No Stat</v>
      </c>
      <c r="O197" s="57">
        <v>0.524</v>
      </c>
      <c r="P197" s="24">
        <v>25192.0</v>
      </c>
      <c r="Q197" s="24">
        <v>5366.0</v>
      </c>
      <c r="R197" s="24">
        <v>6238.0</v>
      </c>
      <c r="S197" s="24">
        <v>23.0</v>
      </c>
      <c r="T197" s="24">
        <v>81.0</v>
      </c>
      <c r="U197" s="24">
        <v>27.03</v>
      </c>
      <c r="V197" s="24">
        <v>5.7575</v>
      </c>
      <c r="W197" s="24">
        <v>6.6931</v>
      </c>
      <c r="X197" s="24">
        <v>0.0247</v>
      </c>
      <c r="Y197" s="24">
        <v>0.0869</v>
      </c>
      <c r="Z197" s="24">
        <v>118.8</v>
      </c>
      <c r="AA197" s="24">
        <v>23.9</v>
      </c>
      <c r="AB197" s="25"/>
      <c r="AC197" s="24">
        <v>71.4</v>
      </c>
      <c r="AD197" s="25"/>
      <c r="AE197" s="24">
        <v>1.0</v>
      </c>
      <c r="AF197" s="24">
        <v>1.029412</v>
      </c>
      <c r="AG197" s="51" t="s">
        <v>108</v>
      </c>
      <c r="AH197" s="51" t="s">
        <v>108</v>
      </c>
      <c r="AI197" s="24">
        <v>1.125523</v>
      </c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</row>
    <row r="198">
      <c r="A198" s="51" t="s">
        <v>54</v>
      </c>
      <c r="B198" s="51" t="s">
        <v>104</v>
      </c>
      <c r="C198" s="24">
        <v>1963.0</v>
      </c>
      <c r="D198" s="24">
        <v>0.05901</v>
      </c>
      <c r="E198" s="52">
        <v>27.1</v>
      </c>
      <c r="F198" s="53">
        <f t="shared" si="1"/>
        <v>1.647785798</v>
      </c>
      <c r="G198" s="52">
        <v>5.6</v>
      </c>
      <c r="H198" s="54">
        <f t="shared" si="2"/>
        <v>0.39159763</v>
      </c>
      <c r="I198" s="52">
        <v>7.0</v>
      </c>
      <c r="J198" s="54">
        <f t="shared" si="3"/>
        <v>0.4551820734</v>
      </c>
      <c r="K198" s="55">
        <v>0.0</v>
      </c>
      <c r="L198" s="54" t="str">
        <f t="shared" si="4"/>
        <v>No Stat</v>
      </c>
      <c r="M198" s="55">
        <v>0.0</v>
      </c>
      <c r="N198" s="56" t="str">
        <f t="shared" si="5"/>
        <v>No Stat</v>
      </c>
      <c r="O198" s="57">
        <v>0.523</v>
      </c>
      <c r="P198" s="24">
        <v>25192.0</v>
      </c>
      <c r="Q198" s="24">
        <v>5366.0</v>
      </c>
      <c r="R198" s="24">
        <v>6238.0</v>
      </c>
      <c r="S198" s="24">
        <v>23.0</v>
      </c>
      <c r="T198" s="24">
        <v>81.0</v>
      </c>
      <c r="U198" s="24">
        <v>27.03</v>
      </c>
      <c r="V198" s="24">
        <v>5.7575</v>
      </c>
      <c r="W198" s="24">
        <v>6.6931</v>
      </c>
      <c r="X198" s="24">
        <v>0.0247</v>
      </c>
      <c r="Y198" s="24">
        <v>0.0869</v>
      </c>
      <c r="Z198" s="24">
        <v>115.3</v>
      </c>
      <c r="AA198" s="24">
        <v>22.7</v>
      </c>
      <c r="AB198" s="25"/>
      <c r="AC198" s="24">
        <v>66.7</v>
      </c>
      <c r="AD198" s="25"/>
      <c r="AE198" s="24">
        <v>1.0304</v>
      </c>
      <c r="AF198" s="24">
        <v>1.101949</v>
      </c>
      <c r="AG198" s="51" t="s">
        <v>108</v>
      </c>
      <c r="AH198" s="51" t="s">
        <v>108</v>
      </c>
      <c r="AI198" s="24">
        <v>1.185022</v>
      </c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</row>
    <row r="199">
      <c r="A199" s="51" t="s">
        <v>54</v>
      </c>
      <c r="B199" s="51" t="s">
        <v>104</v>
      </c>
      <c r="C199" s="24">
        <v>1964.0</v>
      </c>
      <c r="D199" s="24">
        <v>0.07725</v>
      </c>
      <c r="E199" s="52">
        <v>28.7</v>
      </c>
      <c r="F199" s="53">
        <f t="shared" si="1"/>
        <v>2.372935373</v>
      </c>
      <c r="G199" s="52">
        <v>5.6</v>
      </c>
      <c r="H199" s="54">
        <f t="shared" si="2"/>
        <v>0.5437820934</v>
      </c>
      <c r="I199" s="52">
        <v>6.0</v>
      </c>
      <c r="J199" s="54">
        <f t="shared" si="3"/>
        <v>0.516953601</v>
      </c>
      <c r="K199" s="55">
        <v>0.0</v>
      </c>
      <c r="L199" s="54" t="str">
        <f t="shared" si="4"/>
        <v>No Stat</v>
      </c>
      <c r="M199" s="55">
        <v>0.0</v>
      </c>
      <c r="N199" s="56" t="str">
        <f t="shared" si="5"/>
        <v>No Stat</v>
      </c>
      <c r="O199" s="57">
        <v>0.562</v>
      </c>
      <c r="P199" s="24">
        <v>25192.0</v>
      </c>
      <c r="Q199" s="24">
        <v>5366.0</v>
      </c>
      <c r="R199" s="24">
        <v>6238.0</v>
      </c>
      <c r="S199" s="24">
        <v>23.0</v>
      </c>
      <c r="T199" s="24">
        <v>81.0</v>
      </c>
      <c r="U199" s="24">
        <v>27.03</v>
      </c>
      <c r="V199" s="24">
        <v>5.7575</v>
      </c>
      <c r="W199" s="24">
        <v>6.6931</v>
      </c>
      <c r="X199" s="24">
        <v>0.0247</v>
      </c>
      <c r="Y199" s="24">
        <v>0.0869</v>
      </c>
      <c r="Z199" s="24">
        <v>111.0</v>
      </c>
      <c r="AA199" s="24">
        <v>21.4</v>
      </c>
      <c r="AB199" s="25"/>
      <c r="AC199" s="24">
        <v>65.9</v>
      </c>
      <c r="AD199" s="25"/>
      <c r="AE199" s="24">
        <v>1.0703</v>
      </c>
      <c r="AF199" s="24">
        <v>1.115326</v>
      </c>
      <c r="AG199" s="51" t="s">
        <v>108</v>
      </c>
      <c r="AH199" s="51" t="s">
        <v>108</v>
      </c>
      <c r="AI199" s="24">
        <v>1.257009</v>
      </c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</row>
    <row r="200">
      <c r="A200" s="51" t="s">
        <v>54</v>
      </c>
      <c r="B200" s="51" t="s">
        <v>104</v>
      </c>
      <c r="C200" s="24">
        <v>1965.0</v>
      </c>
      <c r="D200" s="24">
        <v>0.0794</v>
      </c>
      <c r="E200" s="52">
        <v>31.0</v>
      </c>
      <c r="F200" s="53">
        <f t="shared" si="1"/>
        <v>2.64378974</v>
      </c>
      <c r="G200" s="52">
        <v>4.9</v>
      </c>
      <c r="H200" s="54">
        <f t="shared" si="2"/>
        <v>0.4983671851</v>
      </c>
      <c r="I200" s="52">
        <v>6.0</v>
      </c>
      <c r="J200" s="54">
        <f t="shared" si="3"/>
        <v>0.52028835</v>
      </c>
      <c r="K200" s="55">
        <v>0.0</v>
      </c>
      <c r="L200" s="54" t="str">
        <f t="shared" si="4"/>
        <v>No Stat</v>
      </c>
      <c r="M200" s="55">
        <v>0.0</v>
      </c>
      <c r="N200" s="56" t="str">
        <f t="shared" si="5"/>
        <v>No Stat</v>
      </c>
      <c r="O200" s="57">
        <v>0.572</v>
      </c>
      <c r="P200" s="24">
        <v>25192.0</v>
      </c>
      <c r="Q200" s="24">
        <v>5366.0</v>
      </c>
      <c r="R200" s="24">
        <v>6238.0</v>
      </c>
      <c r="S200" s="24">
        <v>23.0</v>
      </c>
      <c r="T200" s="24">
        <v>81.0</v>
      </c>
      <c r="U200" s="24">
        <v>27.03</v>
      </c>
      <c r="V200" s="24">
        <v>5.7575</v>
      </c>
      <c r="W200" s="24">
        <v>6.6931</v>
      </c>
      <c r="X200" s="24">
        <v>0.0247</v>
      </c>
      <c r="Y200" s="24">
        <v>0.0869</v>
      </c>
      <c r="Z200" s="24">
        <v>110.6</v>
      </c>
      <c r="AA200" s="24">
        <v>21.0</v>
      </c>
      <c r="AB200" s="25"/>
      <c r="AC200" s="24">
        <v>67.3</v>
      </c>
      <c r="AD200" s="25"/>
      <c r="AE200" s="24">
        <v>1.0741</v>
      </c>
      <c r="AF200" s="24">
        <v>1.092125</v>
      </c>
      <c r="AG200" s="51" t="s">
        <v>108</v>
      </c>
      <c r="AH200" s="51" t="s">
        <v>108</v>
      </c>
      <c r="AI200" s="24">
        <v>1.280952</v>
      </c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</row>
    <row r="201">
      <c r="A201" s="51" t="s">
        <v>54</v>
      </c>
      <c r="B201" s="51" t="s">
        <v>104</v>
      </c>
      <c r="C201" s="24">
        <v>1966.0</v>
      </c>
      <c r="D201" s="24">
        <v>0.08476</v>
      </c>
      <c r="E201" s="52">
        <v>31.3</v>
      </c>
      <c r="F201" s="53">
        <f t="shared" si="1"/>
        <v>2.728863457</v>
      </c>
      <c r="G201" s="52">
        <v>6.1</v>
      </c>
      <c r="H201" s="54">
        <f t="shared" si="2"/>
        <v>0.6073477122</v>
      </c>
      <c r="I201" s="52">
        <v>7.1</v>
      </c>
      <c r="J201" s="54">
        <f t="shared" si="3"/>
        <v>0.6485633725</v>
      </c>
      <c r="K201" s="55">
        <v>0.0</v>
      </c>
      <c r="L201" s="54" t="str">
        <f t="shared" si="4"/>
        <v>No Stat</v>
      </c>
      <c r="M201" s="55">
        <v>0.0</v>
      </c>
      <c r="N201" s="56" t="str">
        <f t="shared" si="5"/>
        <v>No Stat</v>
      </c>
      <c r="O201" s="57">
        <v>0.573</v>
      </c>
      <c r="P201" s="24">
        <v>25192.0</v>
      </c>
      <c r="Q201" s="24">
        <v>5366.0</v>
      </c>
      <c r="R201" s="24">
        <v>6238.0</v>
      </c>
      <c r="S201" s="24">
        <v>23.0</v>
      </c>
      <c r="T201" s="24">
        <v>81.0</v>
      </c>
      <c r="U201" s="24">
        <v>27.03</v>
      </c>
      <c r="V201" s="24">
        <v>5.7575</v>
      </c>
      <c r="W201" s="24">
        <v>6.6931</v>
      </c>
      <c r="X201" s="24">
        <v>0.0247</v>
      </c>
      <c r="Y201" s="24">
        <v>0.0869</v>
      </c>
      <c r="Z201" s="24">
        <v>115.5</v>
      </c>
      <c r="AA201" s="24">
        <v>22.9</v>
      </c>
      <c r="AB201" s="25"/>
      <c r="AC201" s="24">
        <v>68.2</v>
      </c>
      <c r="AD201" s="25"/>
      <c r="AE201" s="24">
        <v>1.0286</v>
      </c>
      <c r="AF201" s="24">
        <v>1.077713</v>
      </c>
      <c r="AG201" s="51" t="s">
        <v>108</v>
      </c>
      <c r="AH201" s="51" t="s">
        <v>108</v>
      </c>
      <c r="AI201" s="24">
        <v>1.174672</v>
      </c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</row>
    <row r="202">
      <c r="A202" s="51" t="s">
        <v>54</v>
      </c>
      <c r="B202" s="51" t="s">
        <v>104</v>
      </c>
      <c r="C202" s="24">
        <v>1967.0</v>
      </c>
      <c r="D202" s="24">
        <v>0.07082</v>
      </c>
      <c r="E202" s="52">
        <v>28.7</v>
      </c>
      <c r="F202" s="53">
        <f t="shared" si="1"/>
        <v>2.056721155</v>
      </c>
      <c r="G202" s="52">
        <v>6.8</v>
      </c>
      <c r="H202" s="54">
        <f t="shared" si="2"/>
        <v>0.5783212474</v>
      </c>
      <c r="I202" s="52">
        <v>5.9</v>
      </c>
      <c r="J202" s="54">
        <f t="shared" si="3"/>
        <v>0.4563313258</v>
      </c>
      <c r="K202" s="55">
        <v>0.0</v>
      </c>
      <c r="L202" s="54" t="str">
        <f t="shared" si="4"/>
        <v>No Stat</v>
      </c>
      <c r="M202" s="55">
        <v>0.0</v>
      </c>
      <c r="N202" s="56" t="str">
        <f t="shared" si="5"/>
        <v>No Stat</v>
      </c>
      <c r="O202" s="57">
        <v>0.559</v>
      </c>
      <c r="P202" s="24">
        <v>25192.0</v>
      </c>
      <c r="Q202" s="24">
        <v>5366.0</v>
      </c>
      <c r="R202" s="24">
        <v>6238.0</v>
      </c>
      <c r="S202" s="24">
        <v>23.0</v>
      </c>
      <c r="T202" s="24">
        <v>81.0</v>
      </c>
      <c r="U202" s="24">
        <v>27.03</v>
      </c>
      <c r="V202" s="24">
        <v>5.7575</v>
      </c>
      <c r="W202" s="24">
        <v>6.6931</v>
      </c>
      <c r="X202" s="24">
        <v>0.0247</v>
      </c>
      <c r="Y202" s="24">
        <v>0.0869</v>
      </c>
      <c r="Z202" s="24">
        <v>117.4</v>
      </c>
      <c r="AA202" s="24">
        <v>22.4</v>
      </c>
      <c r="AB202" s="25"/>
      <c r="AC202" s="24">
        <v>67.3</v>
      </c>
      <c r="AD202" s="25"/>
      <c r="AE202" s="24">
        <v>1.0119</v>
      </c>
      <c r="AF202" s="24">
        <v>1.092125</v>
      </c>
      <c r="AG202" s="51" t="s">
        <v>108</v>
      </c>
      <c r="AH202" s="51" t="s">
        <v>108</v>
      </c>
      <c r="AI202" s="24">
        <v>1.200893</v>
      </c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</row>
    <row r="203">
      <c r="A203" s="51" t="s">
        <v>54</v>
      </c>
      <c r="B203" s="51" t="s">
        <v>104</v>
      </c>
      <c r="C203" s="24">
        <v>1968.0</v>
      </c>
      <c r="D203" s="24">
        <v>0.05472</v>
      </c>
      <c r="E203" s="52">
        <v>26.3</v>
      </c>
      <c r="F203" s="53">
        <f t="shared" si="1"/>
        <v>1.46633567</v>
      </c>
      <c r="G203" s="52">
        <v>6.1</v>
      </c>
      <c r="H203" s="54">
        <f t="shared" si="2"/>
        <v>0.3938161464</v>
      </c>
      <c r="I203" s="52">
        <v>5.8</v>
      </c>
      <c r="J203" s="54">
        <f t="shared" si="3"/>
        <v>0.3523736863</v>
      </c>
      <c r="K203" s="55">
        <v>0.0</v>
      </c>
      <c r="L203" s="54" t="str">
        <f t="shared" si="4"/>
        <v>No Stat</v>
      </c>
      <c r="M203" s="55">
        <v>0.0</v>
      </c>
      <c r="N203" s="56" t="str">
        <f t="shared" si="5"/>
        <v>No Stat</v>
      </c>
      <c r="O203" s="57">
        <v>0.59</v>
      </c>
      <c r="P203" s="24">
        <v>25192.0</v>
      </c>
      <c r="Q203" s="24">
        <v>5366.0</v>
      </c>
      <c r="R203" s="24">
        <v>6238.0</v>
      </c>
      <c r="S203" s="24">
        <v>23.0</v>
      </c>
      <c r="T203" s="24">
        <v>81.0</v>
      </c>
      <c r="U203" s="24">
        <v>27.03</v>
      </c>
      <c r="V203" s="24">
        <v>5.7575</v>
      </c>
      <c r="W203" s="24">
        <v>6.6931</v>
      </c>
      <c r="X203" s="24">
        <v>0.0247</v>
      </c>
      <c r="Y203" s="24">
        <v>0.0869</v>
      </c>
      <c r="Z203" s="24">
        <v>116.6</v>
      </c>
      <c r="AA203" s="24">
        <v>22.8</v>
      </c>
      <c r="AB203" s="25"/>
      <c r="AC203" s="24">
        <v>66.2</v>
      </c>
      <c r="AD203" s="25"/>
      <c r="AE203" s="24">
        <v>1.0189</v>
      </c>
      <c r="AF203" s="24">
        <v>1.110272</v>
      </c>
      <c r="AG203" s="51" t="s">
        <v>108</v>
      </c>
      <c r="AH203" s="51" t="s">
        <v>108</v>
      </c>
      <c r="AI203" s="24">
        <v>1.179825</v>
      </c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</row>
    <row r="204">
      <c r="A204" s="51" t="s">
        <v>54</v>
      </c>
      <c r="B204" s="51" t="s">
        <v>104</v>
      </c>
      <c r="C204" s="24">
        <v>1969.0</v>
      </c>
      <c r="D204" s="24">
        <v>0.06545</v>
      </c>
      <c r="E204" s="52">
        <v>25.9</v>
      </c>
      <c r="F204" s="53">
        <f t="shared" si="1"/>
        <v>1.793304475</v>
      </c>
      <c r="G204" s="52">
        <v>6.9</v>
      </c>
      <c r="H204" s="54">
        <f t="shared" si="2"/>
        <v>0.5258949257</v>
      </c>
      <c r="I204" s="52">
        <v>4.3</v>
      </c>
      <c r="J204" s="54">
        <f t="shared" si="3"/>
        <v>0.3635408469</v>
      </c>
      <c r="K204" s="55">
        <v>0.0</v>
      </c>
      <c r="L204" s="54" t="str">
        <f t="shared" si="4"/>
        <v>No Stat</v>
      </c>
      <c r="M204" s="55">
        <v>0.0</v>
      </c>
      <c r="N204" s="56" t="str">
        <f t="shared" si="5"/>
        <v>No Stat</v>
      </c>
      <c r="O204" s="57">
        <v>0.557</v>
      </c>
      <c r="P204" s="24">
        <v>25192.0</v>
      </c>
      <c r="Q204" s="24">
        <v>5366.0</v>
      </c>
      <c r="R204" s="24">
        <v>6238.0</v>
      </c>
      <c r="S204" s="24">
        <v>23.0</v>
      </c>
      <c r="T204" s="24">
        <v>81.0</v>
      </c>
      <c r="U204" s="24">
        <v>27.03</v>
      </c>
      <c r="V204" s="24">
        <v>5.7575</v>
      </c>
      <c r="W204" s="24">
        <v>6.6931</v>
      </c>
      <c r="X204" s="24">
        <v>0.0247</v>
      </c>
      <c r="Y204" s="24">
        <v>0.0869</v>
      </c>
      <c r="Z204" s="24">
        <v>112.3</v>
      </c>
      <c r="AA204" s="24">
        <v>23.1</v>
      </c>
      <c r="AB204" s="25"/>
      <c r="AC204" s="24">
        <v>56.9</v>
      </c>
      <c r="AD204" s="25"/>
      <c r="AE204" s="24">
        <v>1.0579</v>
      </c>
      <c r="AF204" s="24">
        <v>1.29174</v>
      </c>
      <c r="AG204" s="51" t="s">
        <v>108</v>
      </c>
      <c r="AH204" s="51" t="s">
        <v>108</v>
      </c>
      <c r="AI204" s="24">
        <v>1.164502</v>
      </c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</row>
    <row r="205">
      <c r="A205" s="51" t="s">
        <v>54</v>
      </c>
      <c r="B205" s="51" t="s">
        <v>104</v>
      </c>
      <c r="C205" s="24">
        <v>1970.0</v>
      </c>
      <c r="D205" s="24">
        <v>0.0794</v>
      </c>
      <c r="E205" s="52">
        <v>31.2</v>
      </c>
      <c r="F205" s="53">
        <f t="shared" si="1"/>
        <v>2.52187104</v>
      </c>
      <c r="G205" s="52">
        <v>7.5</v>
      </c>
      <c r="H205" s="54">
        <f t="shared" si="2"/>
        <v>0.6485405895</v>
      </c>
      <c r="I205" s="52">
        <v>4.6</v>
      </c>
      <c r="J205" s="54">
        <f t="shared" si="3"/>
        <v>0.5074695694</v>
      </c>
      <c r="K205" s="55">
        <v>0.0</v>
      </c>
      <c r="L205" s="54" t="str">
        <f t="shared" si="4"/>
        <v>No Stat</v>
      </c>
      <c r="M205" s="55">
        <v>0.0</v>
      </c>
      <c r="N205" s="56" t="str">
        <f t="shared" si="5"/>
        <v>No Stat</v>
      </c>
      <c r="O205" s="57">
        <v>0.572</v>
      </c>
      <c r="P205" s="24">
        <v>25192.0</v>
      </c>
      <c r="Q205" s="24">
        <v>5366.0</v>
      </c>
      <c r="R205" s="24">
        <v>6238.0</v>
      </c>
      <c r="S205" s="24">
        <v>23.0</v>
      </c>
      <c r="T205" s="24">
        <v>81.0</v>
      </c>
      <c r="U205" s="24">
        <v>27.03</v>
      </c>
      <c r="V205" s="24">
        <v>5.7575</v>
      </c>
      <c r="W205" s="24">
        <v>6.6931</v>
      </c>
      <c r="X205" s="24">
        <v>0.0247</v>
      </c>
      <c r="Y205" s="24">
        <v>0.0869</v>
      </c>
      <c r="Z205" s="24">
        <v>116.7</v>
      </c>
      <c r="AA205" s="24">
        <v>24.7</v>
      </c>
      <c r="AB205" s="25"/>
      <c r="AC205" s="24">
        <v>52.9</v>
      </c>
      <c r="AD205" s="25"/>
      <c r="AE205" s="24">
        <v>1.018</v>
      </c>
      <c r="AF205" s="24">
        <v>1.389414</v>
      </c>
      <c r="AG205" s="51" t="s">
        <v>108</v>
      </c>
      <c r="AH205" s="51" t="s">
        <v>108</v>
      </c>
      <c r="AI205" s="24">
        <v>1.089069</v>
      </c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</row>
    <row r="206">
      <c r="A206" s="51" t="s">
        <v>54</v>
      </c>
      <c r="B206" s="51" t="s">
        <v>104</v>
      </c>
      <c r="C206" s="24">
        <v>1971.0</v>
      </c>
      <c r="D206" s="24">
        <v>0.07403</v>
      </c>
      <c r="E206" s="52">
        <v>26.9</v>
      </c>
      <c r="F206" s="53">
        <f t="shared" si="1"/>
        <v>2.104718058</v>
      </c>
      <c r="G206" s="52">
        <v>9.5</v>
      </c>
      <c r="H206" s="54">
        <f t="shared" si="2"/>
        <v>0.7785336819</v>
      </c>
      <c r="I206" s="52">
        <v>4.6</v>
      </c>
      <c r="J206" s="54">
        <f t="shared" si="3"/>
        <v>0.4713662294</v>
      </c>
      <c r="K206" s="55">
        <v>0.0</v>
      </c>
      <c r="L206" s="54" t="str">
        <f t="shared" si="4"/>
        <v>No Stat</v>
      </c>
      <c r="M206" s="55">
        <v>0.0</v>
      </c>
      <c r="N206" s="56" t="str">
        <f t="shared" si="5"/>
        <v>No Stat</v>
      </c>
      <c r="O206" s="57">
        <v>0.571</v>
      </c>
      <c r="P206" s="24">
        <v>25192.0</v>
      </c>
      <c r="Q206" s="24">
        <v>5366.0</v>
      </c>
      <c r="R206" s="24">
        <v>6238.0</v>
      </c>
      <c r="S206" s="24">
        <v>23.0</v>
      </c>
      <c r="T206" s="24">
        <v>81.0</v>
      </c>
      <c r="U206" s="24">
        <v>27.03</v>
      </c>
      <c r="V206" s="24">
        <v>5.7575</v>
      </c>
      <c r="W206" s="24">
        <v>6.6931</v>
      </c>
      <c r="X206" s="24">
        <v>0.0247</v>
      </c>
      <c r="Y206" s="24">
        <v>0.0869</v>
      </c>
      <c r="Z206" s="24">
        <v>112.4</v>
      </c>
      <c r="AA206" s="24">
        <v>24.3</v>
      </c>
      <c r="AB206" s="25"/>
      <c r="AC206" s="24">
        <v>53.1</v>
      </c>
      <c r="AD206" s="25"/>
      <c r="AE206" s="24">
        <v>1.0569</v>
      </c>
      <c r="AF206" s="24">
        <v>1.384181</v>
      </c>
      <c r="AG206" s="51" t="s">
        <v>108</v>
      </c>
      <c r="AH206" s="51" t="s">
        <v>108</v>
      </c>
      <c r="AI206" s="24">
        <v>1.106996</v>
      </c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</row>
    <row r="207">
      <c r="A207" s="51" t="s">
        <v>54</v>
      </c>
      <c r="B207" s="51" t="s">
        <v>104</v>
      </c>
      <c r="C207" s="24">
        <v>1972.0</v>
      </c>
      <c r="D207" s="24">
        <v>0.08262</v>
      </c>
      <c r="E207" s="52">
        <v>25.8</v>
      </c>
      <c r="F207" s="53">
        <f t="shared" si="1"/>
        <v>2.297860488</v>
      </c>
      <c r="G207" s="52">
        <v>9.7</v>
      </c>
      <c r="H207" s="54">
        <f t="shared" si="2"/>
        <v>0.8945246828</v>
      </c>
      <c r="I207" s="52">
        <v>4.2</v>
      </c>
      <c r="J207" s="54">
        <f t="shared" si="3"/>
        <v>0.4991152854</v>
      </c>
      <c r="K207" s="55">
        <v>0.0</v>
      </c>
      <c r="L207" s="54" t="str">
        <f t="shared" si="4"/>
        <v>No Stat</v>
      </c>
      <c r="M207" s="55">
        <v>0.0</v>
      </c>
      <c r="N207" s="56" t="str">
        <f t="shared" si="5"/>
        <v>No Stat</v>
      </c>
      <c r="O207" s="57">
        <v>0.546</v>
      </c>
      <c r="P207" s="24">
        <v>25192.0</v>
      </c>
      <c r="Q207" s="24">
        <v>5366.0</v>
      </c>
      <c r="R207" s="24">
        <v>6238.0</v>
      </c>
      <c r="S207" s="24">
        <v>23.0</v>
      </c>
      <c r="T207" s="24">
        <v>81.0</v>
      </c>
      <c r="U207" s="24">
        <v>27.03</v>
      </c>
      <c r="V207" s="24">
        <v>5.7575</v>
      </c>
      <c r="W207" s="24">
        <v>6.6931</v>
      </c>
      <c r="X207" s="24">
        <v>0.0247</v>
      </c>
      <c r="Y207" s="24">
        <v>0.0869</v>
      </c>
      <c r="Z207" s="24">
        <v>110.2</v>
      </c>
      <c r="AA207" s="24">
        <v>24.1</v>
      </c>
      <c r="AB207" s="25"/>
      <c r="AC207" s="24">
        <v>51.1</v>
      </c>
      <c r="AD207" s="25"/>
      <c r="AE207" s="24">
        <v>1.078</v>
      </c>
      <c r="AF207" s="24">
        <v>1.438356</v>
      </c>
      <c r="AG207" s="51" t="s">
        <v>108</v>
      </c>
      <c r="AH207" s="51" t="s">
        <v>108</v>
      </c>
      <c r="AI207" s="24">
        <v>1.116183</v>
      </c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</row>
    <row r="208">
      <c r="A208" s="51" t="s">
        <v>54</v>
      </c>
      <c r="B208" s="51" t="s">
        <v>104</v>
      </c>
      <c r="C208" s="24">
        <v>1973.0</v>
      </c>
      <c r="D208" s="24">
        <v>0.07403</v>
      </c>
      <c r="E208" s="52">
        <v>22.8</v>
      </c>
      <c r="F208" s="53">
        <f t="shared" si="1"/>
        <v>1.863592724</v>
      </c>
      <c r="G208" s="52">
        <v>8.8</v>
      </c>
      <c r="H208" s="54">
        <f t="shared" si="2"/>
        <v>0.6954117614</v>
      </c>
      <c r="I208" s="52">
        <v>4.2</v>
      </c>
      <c r="J208" s="54">
        <f t="shared" si="3"/>
        <v>0.4516414689</v>
      </c>
      <c r="K208" s="55">
        <v>0.0</v>
      </c>
      <c r="L208" s="54" t="str">
        <f t="shared" si="4"/>
        <v>No Stat</v>
      </c>
      <c r="M208" s="55">
        <v>0.0</v>
      </c>
      <c r="N208" s="56" t="str">
        <f t="shared" si="5"/>
        <v>No Stat</v>
      </c>
      <c r="O208" s="57">
        <v>0.533</v>
      </c>
      <c r="P208" s="24">
        <v>25192.0</v>
      </c>
      <c r="Q208" s="24">
        <v>5366.0</v>
      </c>
      <c r="R208" s="24">
        <v>6238.0</v>
      </c>
      <c r="S208" s="24">
        <v>23.0</v>
      </c>
      <c r="T208" s="24">
        <v>81.0</v>
      </c>
      <c r="U208" s="24">
        <v>27.03</v>
      </c>
      <c r="V208" s="24">
        <v>5.7575</v>
      </c>
      <c r="W208" s="24">
        <v>6.6931</v>
      </c>
      <c r="X208" s="24">
        <v>0.0247</v>
      </c>
      <c r="Y208" s="24">
        <v>0.0869</v>
      </c>
      <c r="Z208" s="24">
        <v>107.6</v>
      </c>
      <c r="AA208" s="24">
        <v>25.2</v>
      </c>
      <c r="AB208" s="25"/>
      <c r="AC208" s="24">
        <v>50.6</v>
      </c>
      <c r="AD208" s="25"/>
      <c r="AE208" s="24">
        <v>1.1041</v>
      </c>
      <c r="AF208" s="24">
        <v>1.452569</v>
      </c>
      <c r="AG208" s="51" t="s">
        <v>108</v>
      </c>
      <c r="AH208" s="51" t="s">
        <v>108</v>
      </c>
      <c r="AI208" s="24">
        <v>1.06746</v>
      </c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</row>
    <row r="209">
      <c r="A209" s="51" t="s">
        <v>54</v>
      </c>
      <c r="B209" s="51" t="s">
        <v>104</v>
      </c>
      <c r="C209" s="24">
        <v>1974.0</v>
      </c>
      <c r="D209" s="24">
        <v>0.03326</v>
      </c>
      <c r="E209" s="52">
        <v>20.3</v>
      </c>
      <c r="F209" s="53">
        <f t="shared" si="1"/>
        <v>0.7588325542</v>
      </c>
      <c r="G209" s="52">
        <v>6.6</v>
      </c>
      <c r="H209" s="54">
        <f t="shared" si="2"/>
        <v>0.2400398679</v>
      </c>
      <c r="I209" s="52">
        <v>3.7</v>
      </c>
      <c r="J209" s="54">
        <f t="shared" si="3"/>
        <v>0.1876567516</v>
      </c>
      <c r="K209" s="55">
        <v>3.919354839</v>
      </c>
      <c r="L209" s="54">
        <f t="shared" si="4"/>
        <v>0.1438429896</v>
      </c>
      <c r="M209" s="55">
        <v>1.112903226</v>
      </c>
      <c r="N209" s="56">
        <f t="shared" si="5"/>
        <v>0.04410315752</v>
      </c>
      <c r="O209" s="57">
        <v>0.519</v>
      </c>
      <c r="P209" s="24">
        <v>25192.0</v>
      </c>
      <c r="Q209" s="24">
        <v>5366.0</v>
      </c>
      <c r="R209" s="24">
        <v>6238.0</v>
      </c>
      <c r="S209" s="24">
        <v>23.0</v>
      </c>
      <c r="T209" s="24">
        <v>81.0</v>
      </c>
      <c r="U209" s="24">
        <v>27.03</v>
      </c>
      <c r="V209" s="24">
        <v>5.7575</v>
      </c>
      <c r="W209" s="24">
        <v>6.6931</v>
      </c>
      <c r="X209" s="24">
        <v>0.0247</v>
      </c>
      <c r="Y209" s="24">
        <v>0.0869</v>
      </c>
      <c r="Z209" s="24">
        <v>105.7</v>
      </c>
      <c r="AA209" s="24">
        <v>24.6</v>
      </c>
      <c r="AB209" s="24">
        <v>4.7</v>
      </c>
      <c r="AC209" s="24">
        <v>48.2</v>
      </c>
      <c r="AD209" s="24">
        <v>8.7</v>
      </c>
      <c r="AE209" s="24">
        <v>1.1239</v>
      </c>
      <c r="AF209" s="24">
        <v>1.524896</v>
      </c>
      <c r="AG209" s="24">
        <v>1.103448</v>
      </c>
      <c r="AH209" s="24">
        <v>1.191489</v>
      </c>
      <c r="AI209" s="24">
        <v>1.093496</v>
      </c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</row>
    <row r="210">
      <c r="A210" s="51" t="s">
        <v>52</v>
      </c>
      <c r="B210" s="51" t="s">
        <v>111</v>
      </c>
      <c r="C210" s="24">
        <v>1963.0</v>
      </c>
      <c r="D210" s="24">
        <v>0.06299</v>
      </c>
      <c r="E210" s="52">
        <v>14.3</v>
      </c>
      <c r="F210" s="53">
        <f t="shared" si="1"/>
        <v>0.9281400128</v>
      </c>
      <c r="G210" s="52">
        <v>2.2</v>
      </c>
      <c r="H210" s="54">
        <f t="shared" si="2"/>
        <v>0.1642179787</v>
      </c>
      <c r="I210" s="52">
        <v>6.7</v>
      </c>
      <c r="J210" s="54">
        <f t="shared" si="3"/>
        <v>0.4650588423</v>
      </c>
      <c r="K210" s="55">
        <v>0.0</v>
      </c>
      <c r="L210" s="54" t="str">
        <f t="shared" si="4"/>
        <v>No Stat</v>
      </c>
      <c r="M210" s="55">
        <v>0.0</v>
      </c>
      <c r="N210" s="56" t="str">
        <f t="shared" si="5"/>
        <v>No Stat</v>
      </c>
      <c r="O210" s="57">
        <v>0.479</v>
      </c>
      <c r="P210" s="24">
        <v>26395.0</v>
      </c>
      <c r="Q210" s="24">
        <v>8007.0</v>
      </c>
      <c r="R210" s="24">
        <v>6114.0</v>
      </c>
      <c r="S210" s="24">
        <v>117.0</v>
      </c>
      <c r="T210" s="24">
        <v>476.0</v>
      </c>
      <c r="U210" s="24">
        <v>20.7835</v>
      </c>
      <c r="V210" s="24">
        <v>6.3047</v>
      </c>
      <c r="W210" s="24">
        <v>4.8142</v>
      </c>
      <c r="X210" s="24">
        <v>0.0921</v>
      </c>
      <c r="Y210" s="24">
        <v>0.3748</v>
      </c>
      <c r="Z210" s="24">
        <v>115.3</v>
      </c>
      <c r="AA210" s="24">
        <v>22.7</v>
      </c>
      <c r="AB210" s="25"/>
      <c r="AC210" s="24">
        <v>66.7</v>
      </c>
      <c r="AD210" s="25"/>
      <c r="AE210" s="24">
        <v>1.0304</v>
      </c>
      <c r="AF210" s="24">
        <v>1.101949</v>
      </c>
      <c r="AG210" s="51" t="s">
        <v>108</v>
      </c>
      <c r="AH210" s="51" t="s">
        <v>108</v>
      </c>
      <c r="AI210" s="24">
        <v>1.185022</v>
      </c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</row>
    <row r="211">
      <c r="A211" s="51" t="s">
        <v>52</v>
      </c>
      <c r="B211" s="51" t="s">
        <v>111</v>
      </c>
      <c r="C211" s="24">
        <v>1964.0</v>
      </c>
      <c r="D211" s="24">
        <v>0.06299</v>
      </c>
      <c r="E211" s="52">
        <v>19.9</v>
      </c>
      <c r="F211" s="53">
        <f t="shared" si="1"/>
        <v>1.34162212</v>
      </c>
      <c r="G211" s="52">
        <v>3.0</v>
      </c>
      <c r="H211" s="54">
        <f t="shared" si="2"/>
        <v>0.2375369907</v>
      </c>
      <c r="I211" s="52">
        <v>5.4</v>
      </c>
      <c r="J211" s="54">
        <f t="shared" si="3"/>
        <v>0.3793736776</v>
      </c>
      <c r="K211" s="55">
        <v>0.0</v>
      </c>
      <c r="L211" s="54" t="str">
        <f t="shared" si="4"/>
        <v>No Stat</v>
      </c>
      <c r="M211" s="55">
        <v>0.0</v>
      </c>
      <c r="N211" s="56" t="str">
        <f t="shared" si="5"/>
        <v>No Stat</v>
      </c>
      <c r="O211" s="57">
        <v>0.463</v>
      </c>
      <c r="P211" s="24">
        <v>26395.0</v>
      </c>
      <c r="Q211" s="24">
        <v>8007.0</v>
      </c>
      <c r="R211" s="24">
        <v>6114.0</v>
      </c>
      <c r="S211" s="24">
        <v>117.0</v>
      </c>
      <c r="T211" s="24">
        <v>476.0</v>
      </c>
      <c r="U211" s="24">
        <v>20.7835</v>
      </c>
      <c r="V211" s="24">
        <v>6.3047</v>
      </c>
      <c r="W211" s="24">
        <v>4.8142</v>
      </c>
      <c r="X211" s="24">
        <v>0.0921</v>
      </c>
      <c r="Y211" s="24">
        <v>0.3748</v>
      </c>
      <c r="Z211" s="24">
        <v>111.0</v>
      </c>
      <c r="AA211" s="24">
        <v>21.4</v>
      </c>
      <c r="AB211" s="25"/>
      <c r="AC211" s="24">
        <v>65.9</v>
      </c>
      <c r="AD211" s="25"/>
      <c r="AE211" s="24">
        <v>1.0703</v>
      </c>
      <c r="AF211" s="24">
        <v>1.115326</v>
      </c>
      <c r="AG211" s="51" t="s">
        <v>108</v>
      </c>
      <c r="AH211" s="51" t="s">
        <v>108</v>
      </c>
      <c r="AI211" s="24">
        <v>1.257009</v>
      </c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</row>
    <row r="212">
      <c r="A212" s="51" t="s">
        <v>52</v>
      </c>
      <c r="B212" s="51" t="s">
        <v>111</v>
      </c>
      <c r="C212" s="24">
        <v>1965.0</v>
      </c>
      <c r="D212" s="24">
        <v>0.05906</v>
      </c>
      <c r="E212" s="52">
        <v>18.3</v>
      </c>
      <c r="F212" s="53">
        <f t="shared" si="1"/>
        <v>1.160885132</v>
      </c>
      <c r="G212" s="52">
        <v>2.7</v>
      </c>
      <c r="H212" s="54">
        <f t="shared" si="2"/>
        <v>0.2042631678</v>
      </c>
      <c r="I212" s="52">
        <v>4.9</v>
      </c>
      <c r="J212" s="54">
        <f t="shared" si="3"/>
        <v>0.3160544223</v>
      </c>
      <c r="K212" s="55">
        <v>0.0</v>
      </c>
      <c r="L212" s="54" t="str">
        <f t="shared" si="4"/>
        <v>No Stat</v>
      </c>
      <c r="M212" s="55">
        <v>0.0</v>
      </c>
      <c r="N212" s="56" t="str">
        <f t="shared" si="5"/>
        <v>No Stat</v>
      </c>
      <c r="O212" s="57">
        <v>0.441</v>
      </c>
      <c r="P212" s="24">
        <v>26395.0</v>
      </c>
      <c r="Q212" s="24">
        <v>8007.0</v>
      </c>
      <c r="R212" s="24">
        <v>6114.0</v>
      </c>
      <c r="S212" s="24">
        <v>117.0</v>
      </c>
      <c r="T212" s="24">
        <v>476.0</v>
      </c>
      <c r="U212" s="24">
        <v>20.7835</v>
      </c>
      <c r="V212" s="24">
        <v>6.3047</v>
      </c>
      <c r="W212" s="24">
        <v>4.8142</v>
      </c>
      <c r="X212" s="24">
        <v>0.0921</v>
      </c>
      <c r="Y212" s="24">
        <v>0.3748</v>
      </c>
      <c r="Z212" s="24">
        <v>110.6</v>
      </c>
      <c r="AA212" s="24">
        <v>21.0</v>
      </c>
      <c r="AB212" s="25"/>
      <c r="AC212" s="24">
        <v>67.3</v>
      </c>
      <c r="AD212" s="25"/>
      <c r="AE212" s="24">
        <v>1.0741</v>
      </c>
      <c r="AF212" s="24">
        <v>1.092125</v>
      </c>
      <c r="AG212" s="51" t="s">
        <v>108</v>
      </c>
      <c r="AH212" s="51" t="s">
        <v>108</v>
      </c>
      <c r="AI212" s="24">
        <v>1.280952</v>
      </c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</row>
    <row r="213">
      <c r="A213" s="51" t="s">
        <v>52</v>
      </c>
      <c r="B213" s="51" t="s">
        <v>111</v>
      </c>
      <c r="C213" s="24">
        <v>1966.0</v>
      </c>
      <c r="D213" s="24">
        <v>0.05591</v>
      </c>
      <c r="E213" s="52">
        <v>18.8</v>
      </c>
      <c r="F213" s="53">
        <f t="shared" si="1"/>
        <v>1.081169689</v>
      </c>
      <c r="G213" s="52">
        <v>3.0</v>
      </c>
      <c r="H213" s="54">
        <f t="shared" si="2"/>
        <v>0.1970277346</v>
      </c>
      <c r="I213" s="52">
        <v>6.0</v>
      </c>
      <c r="J213" s="54">
        <f t="shared" si="3"/>
        <v>0.361529603</v>
      </c>
      <c r="K213" s="55">
        <v>0.0</v>
      </c>
      <c r="L213" s="54" t="str">
        <f t="shared" si="4"/>
        <v>No Stat</v>
      </c>
      <c r="M213" s="55">
        <v>0.0</v>
      </c>
      <c r="N213" s="56" t="str">
        <f t="shared" si="5"/>
        <v>No Stat</v>
      </c>
      <c r="O213" s="57">
        <v>0.45</v>
      </c>
      <c r="P213" s="24">
        <v>26395.0</v>
      </c>
      <c r="Q213" s="24">
        <v>8007.0</v>
      </c>
      <c r="R213" s="24">
        <v>6114.0</v>
      </c>
      <c r="S213" s="24">
        <v>117.0</v>
      </c>
      <c r="T213" s="24">
        <v>476.0</v>
      </c>
      <c r="U213" s="24">
        <v>20.7835</v>
      </c>
      <c r="V213" s="24">
        <v>6.3047</v>
      </c>
      <c r="W213" s="24">
        <v>4.8142</v>
      </c>
      <c r="X213" s="24">
        <v>0.0921</v>
      </c>
      <c r="Y213" s="24">
        <v>0.3748</v>
      </c>
      <c r="Z213" s="24">
        <v>115.5</v>
      </c>
      <c r="AA213" s="24">
        <v>22.9</v>
      </c>
      <c r="AB213" s="25"/>
      <c r="AC213" s="24">
        <v>68.2</v>
      </c>
      <c r="AD213" s="25"/>
      <c r="AE213" s="24">
        <v>1.0286</v>
      </c>
      <c r="AF213" s="24">
        <v>1.077713</v>
      </c>
      <c r="AG213" s="51" t="s">
        <v>108</v>
      </c>
      <c r="AH213" s="51" t="s">
        <v>108</v>
      </c>
      <c r="AI213" s="24">
        <v>1.174672</v>
      </c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</row>
    <row r="214">
      <c r="A214" s="51" t="s">
        <v>52</v>
      </c>
      <c r="B214" s="51" t="s">
        <v>111</v>
      </c>
      <c r="C214" s="24">
        <v>1967.0</v>
      </c>
      <c r="D214" s="24">
        <v>0.06378</v>
      </c>
      <c r="E214" s="52">
        <v>21.4</v>
      </c>
      <c r="F214" s="53">
        <f t="shared" si="1"/>
        <v>1.381134215</v>
      </c>
      <c r="G214" s="52">
        <v>3.4</v>
      </c>
      <c r="H214" s="54">
        <f t="shared" si="2"/>
        <v>0.2604160488</v>
      </c>
      <c r="I214" s="52">
        <v>6.6</v>
      </c>
      <c r="J214" s="54">
        <f t="shared" si="3"/>
        <v>0.4597278345</v>
      </c>
      <c r="K214" s="55">
        <v>0.0</v>
      </c>
      <c r="L214" s="54" t="str">
        <f t="shared" si="4"/>
        <v>No Stat</v>
      </c>
      <c r="M214" s="55">
        <v>0.0</v>
      </c>
      <c r="N214" s="56" t="str">
        <f t="shared" si="5"/>
        <v>No Stat</v>
      </c>
      <c r="O214" s="57">
        <v>0.5</v>
      </c>
      <c r="P214" s="24">
        <v>26395.0</v>
      </c>
      <c r="Q214" s="24">
        <v>8007.0</v>
      </c>
      <c r="R214" s="24">
        <v>6114.0</v>
      </c>
      <c r="S214" s="24">
        <v>117.0</v>
      </c>
      <c r="T214" s="24">
        <v>476.0</v>
      </c>
      <c r="U214" s="24">
        <v>20.7835</v>
      </c>
      <c r="V214" s="24">
        <v>6.3047</v>
      </c>
      <c r="W214" s="24">
        <v>4.8142</v>
      </c>
      <c r="X214" s="24">
        <v>0.0921</v>
      </c>
      <c r="Y214" s="24">
        <v>0.3748</v>
      </c>
      <c r="Z214" s="24">
        <v>117.4</v>
      </c>
      <c r="AA214" s="24">
        <v>22.4</v>
      </c>
      <c r="AB214" s="25"/>
      <c r="AC214" s="24">
        <v>67.3</v>
      </c>
      <c r="AD214" s="25"/>
      <c r="AE214" s="24">
        <v>1.0119</v>
      </c>
      <c r="AF214" s="24">
        <v>1.092125</v>
      </c>
      <c r="AG214" s="51" t="s">
        <v>108</v>
      </c>
      <c r="AH214" s="51" t="s">
        <v>108</v>
      </c>
      <c r="AI214" s="24">
        <v>1.200893</v>
      </c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</row>
    <row r="215">
      <c r="A215" s="51" t="s">
        <v>52</v>
      </c>
      <c r="B215" s="51" t="s">
        <v>111</v>
      </c>
      <c r="C215" s="24">
        <v>1968.0</v>
      </c>
      <c r="D215" s="24">
        <v>0.06457</v>
      </c>
      <c r="E215" s="52">
        <v>20.7</v>
      </c>
      <c r="F215" s="53">
        <f t="shared" si="1"/>
        <v>1.361860721</v>
      </c>
      <c r="G215" s="52">
        <v>4.7</v>
      </c>
      <c r="H215" s="54">
        <f t="shared" si="2"/>
        <v>0.3580521112</v>
      </c>
      <c r="I215" s="52">
        <v>6.7</v>
      </c>
      <c r="J215" s="54">
        <f t="shared" si="3"/>
        <v>0.4803247624</v>
      </c>
      <c r="K215" s="55">
        <v>0.0</v>
      </c>
      <c r="L215" s="54" t="str">
        <f t="shared" si="4"/>
        <v>No Stat</v>
      </c>
      <c r="M215" s="55">
        <v>0.0</v>
      </c>
      <c r="N215" s="56" t="str">
        <f t="shared" si="5"/>
        <v>No Stat</v>
      </c>
      <c r="O215" s="57">
        <v>0.486</v>
      </c>
      <c r="P215" s="24">
        <v>26395.0</v>
      </c>
      <c r="Q215" s="24">
        <v>8007.0</v>
      </c>
      <c r="R215" s="24">
        <v>6114.0</v>
      </c>
      <c r="S215" s="24">
        <v>117.0</v>
      </c>
      <c r="T215" s="24">
        <v>476.0</v>
      </c>
      <c r="U215" s="24">
        <v>20.7835</v>
      </c>
      <c r="V215" s="24">
        <v>6.3047</v>
      </c>
      <c r="W215" s="24">
        <v>4.8142</v>
      </c>
      <c r="X215" s="24">
        <v>0.0921</v>
      </c>
      <c r="Y215" s="24">
        <v>0.3748</v>
      </c>
      <c r="Z215" s="24">
        <v>116.6</v>
      </c>
      <c r="AA215" s="24">
        <v>22.8</v>
      </c>
      <c r="AB215" s="25"/>
      <c r="AC215" s="24">
        <v>66.2</v>
      </c>
      <c r="AD215" s="25"/>
      <c r="AE215" s="24">
        <v>1.0189</v>
      </c>
      <c r="AF215" s="24">
        <v>1.110272</v>
      </c>
      <c r="AG215" s="51" t="s">
        <v>108</v>
      </c>
      <c r="AH215" s="51" t="s">
        <v>108</v>
      </c>
      <c r="AI215" s="24">
        <v>1.179825</v>
      </c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</row>
    <row r="216">
      <c r="A216" s="51" t="s">
        <v>52</v>
      </c>
      <c r="B216" s="51" t="s">
        <v>111</v>
      </c>
      <c r="C216" s="24">
        <v>1969.0</v>
      </c>
      <c r="D216" s="24">
        <v>0.06457</v>
      </c>
      <c r="E216" s="52">
        <v>21.6</v>
      </c>
      <c r="F216" s="53">
        <f t="shared" si="1"/>
        <v>1.475465825</v>
      </c>
      <c r="G216" s="52">
        <v>5.4</v>
      </c>
      <c r="H216" s="54">
        <f t="shared" si="2"/>
        <v>0.4060362284</v>
      </c>
      <c r="I216" s="52">
        <v>7.0</v>
      </c>
      <c r="J216" s="54">
        <f t="shared" si="3"/>
        <v>0.5838535626</v>
      </c>
      <c r="K216" s="55">
        <v>0.0</v>
      </c>
      <c r="L216" s="54" t="str">
        <f t="shared" si="4"/>
        <v>No Stat</v>
      </c>
      <c r="M216" s="55">
        <v>0.0</v>
      </c>
      <c r="N216" s="56" t="str">
        <f t="shared" si="5"/>
        <v>No Stat</v>
      </c>
      <c r="O216" s="57">
        <v>0.459</v>
      </c>
      <c r="P216" s="24">
        <v>26395.0</v>
      </c>
      <c r="Q216" s="24">
        <v>8007.0</v>
      </c>
      <c r="R216" s="24">
        <v>6114.0</v>
      </c>
      <c r="S216" s="24">
        <v>117.0</v>
      </c>
      <c r="T216" s="24">
        <v>476.0</v>
      </c>
      <c r="U216" s="24">
        <v>20.7835</v>
      </c>
      <c r="V216" s="24">
        <v>6.3047</v>
      </c>
      <c r="W216" s="24">
        <v>4.8142</v>
      </c>
      <c r="X216" s="24">
        <v>0.0921</v>
      </c>
      <c r="Y216" s="24">
        <v>0.3748</v>
      </c>
      <c r="Z216" s="24">
        <v>112.3</v>
      </c>
      <c r="AA216" s="24">
        <v>23.1</v>
      </c>
      <c r="AB216" s="25"/>
      <c r="AC216" s="24">
        <v>56.9</v>
      </c>
      <c r="AD216" s="25"/>
      <c r="AE216" s="24">
        <v>1.0579</v>
      </c>
      <c r="AF216" s="24">
        <v>1.29174</v>
      </c>
      <c r="AG216" s="51" t="s">
        <v>108</v>
      </c>
      <c r="AH216" s="51" t="s">
        <v>108</v>
      </c>
      <c r="AI216" s="24">
        <v>1.164502</v>
      </c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</row>
    <row r="217">
      <c r="A217" s="51" t="s">
        <v>52</v>
      </c>
      <c r="B217" s="51" t="s">
        <v>111</v>
      </c>
      <c r="C217" s="24">
        <v>1970.0</v>
      </c>
      <c r="D217" s="24">
        <v>0.06378</v>
      </c>
      <c r="E217" s="52">
        <v>24.2</v>
      </c>
      <c r="F217" s="53">
        <f t="shared" si="1"/>
        <v>1.571258568</v>
      </c>
      <c r="G217" s="52">
        <v>6.8</v>
      </c>
      <c r="H217" s="54">
        <f t="shared" si="2"/>
        <v>0.4723335816</v>
      </c>
      <c r="I217" s="52">
        <v>7.8</v>
      </c>
      <c r="J217" s="54">
        <f t="shared" si="3"/>
        <v>0.6912112344</v>
      </c>
      <c r="K217" s="55">
        <v>0.0</v>
      </c>
      <c r="L217" s="54" t="str">
        <f t="shared" si="4"/>
        <v>No Stat</v>
      </c>
      <c r="M217" s="55">
        <v>0.0</v>
      </c>
      <c r="N217" s="56" t="str">
        <f t="shared" si="5"/>
        <v>No Stat</v>
      </c>
      <c r="O217" s="57">
        <v>0.533</v>
      </c>
      <c r="P217" s="24">
        <v>26395.0</v>
      </c>
      <c r="Q217" s="24">
        <v>8007.0</v>
      </c>
      <c r="R217" s="24">
        <v>6114.0</v>
      </c>
      <c r="S217" s="24">
        <v>117.0</v>
      </c>
      <c r="T217" s="24">
        <v>476.0</v>
      </c>
      <c r="U217" s="24">
        <v>20.7835</v>
      </c>
      <c r="V217" s="24">
        <v>6.3047</v>
      </c>
      <c r="W217" s="24">
        <v>4.8142</v>
      </c>
      <c r="X217" s="24">
        <v>0.0921</v>
      </c>
      <c r="Y217" s="24">
        <v>0.3748</v>
      </c>
      <c r="Z217" s="24">
        <v>116.7</v>
      </c>
      <c r="AA217" s="24">
        <v>24.7</v>
      </c>
      <c r="AB217" s="25"/>
      <c r="AC217" s="24">
        <v>52.9</v>
      </c>
      <c r="AD217" s="25"/>
      <c r="AE217" s="24">
        <v>1.018</v>
      </c>
      <c r="AF217" s="24">
        <v>1.389414</v>
      </c>
      <c r="AG217" s="51" t="s">
        <v>108</v>
      </c>
      <c r="AH217" s="51" t="s">
        <v>108</v>
      </c>
      <c r="AI217" s="24">
        <v>1.089069</v>
      </c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</row>
    <row r="218">
      <c r="A218" s="51" t="s">
        <v>52</v>
      </c>
      <c r="B218" s="51" t="s">
        <v>111</v>
      </c>
      <c r="C218" s="24">
        <v>1971.0</v>
      </c>
      <c r="D218" s="24">
        <v>0.06378</v>
      </c>
      <c r="E218" s="52">
        <v>28.9</v>
      </c>
      <c r="F218" s="53">
        <f t="shared" si="1"/>
        <v>1.94812247</v>
      </c>
      <c r="G218" s="52">
        <v>7.5</v>
      </c>
      <c r="H218" s="54">
        <f t="shared" si="2"/>
        <v>0.5295315366</v>
      </c>
      <c r="I218" s="52">
        <v>9.0</v>
      </c>
      <c r="J218" s="54">
        <f t="shared" si="3"/>
        <v>0.7945475776</v>
      </c>
      <c r="K218" s="55">
        <v>0.0</v>
      </c>
      <c r="L218" s="54" t="str">
        <f t="shared" si="4"/>
        <v>No Stat</v>
      </c>
      <c r="M218" s="55">
        <v>0.0</v>
      </c>
      <c r="N218" s="56" t="str">
        <f t="shared" si="5"/>
        <v>No Stat</v>
      </c>
      <c r="O218" s="57">
        <v>0.513</v>
      </c>
      <c r="P218" s="24">
        <v>26395.0</v>
      </c>
      <c r="Q218" s="24">
        <v>8007.0</v>
      </c>
      <c r="R218" s="24">
        <v>6114.0</v>
      </c>
      <c r="S218" s="24">
        <v>117.0</v>
      </c>
      <c r="T218" s="24">
        <v>476.0</v>
      </c>
      <c r="U218" s="24">
        <v>20.7835</v>
      </c>
      <c r="V218" s="24">
        <v>6.3047</v>
      </c>
      <c r="W218" s="24">
        <v>4.8142</v>
      </c>
      <c r="X218" s="24">
        <v>0.0921</v>
      </c>
      <c r="Y218" s="24">
        <v>0.3748</v>
      </c>
      <c r="Z218" s="24">
        <v>112.4</v>
      </c>
      <c r="AA218" s="24">
        <v>24.3</v>
      </c>
      <c r="AB218" s="25"/>
      <c r="AC218" s="24">
        <v>53.1</v>
      </c>
      <c r="AD218" s="25"/>
      <c r="AE218" s="24">
        <v>1.0569</v>
      </c>
      <c r="AF218" s="24">
        <v>1.384181</v>
      </c>
      <c r="AG218" s="51" t="s">
        <v>108</v>
      </c>
      <c r="AH218" s="51" t="s">
        <v>108</v>
      </c>
      <c r="AI218" s="24">
        <v>1.106996</v>
      </c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</row>
    <row r="219">
      <c r="A219" s="51" t="s">
        <v>52</v>
      </c>
      <c r="B219" s="51" t="s">
        <v>111</v>
      </c>
      <c r="C219" s="24">
        <v>1972.0</v>
      </c>
      <c r="D219" s="24">
        <v>0.06457</v>
      </c>
      <c r="E219" s="52">
        <v>27.5</v>
      </c>
      <c r="F219" s="53">
        <f t="shared" si="1"/>
        <v>1.91417765</v>
      </c>
      <c r="G219" s="52">
        <v>7.5</v>
      </c>
      <c r="H219" s="54">
        <f t="shared" si="2"/>
        <v>0.5405395223</v>
      </c>
      <c r="I219" s="52">
        <v>8.2</v>
      </c>
      <c r="J219" s="54">
        <f t="shared" si="3"/>
        <v>0.7615721047</v>
      </c>
      <c r="K219" s="55">
        <v>0.0</v>
      </c>
      <c r="L219" s="54" t="str">
        <f t="shared" si="4"/>
        <v>No Stat</v>
      </c>
      <c r="M219" s="55">
        <v>0.0</v>
      </c>
      <c r="N219" s="56" t="str">
        <f t="shared" si="5"/>
        <v>No Stat</v>
      </c>
      <c r="O219" s="57">
        <v>0.512</v>
      </c>
      <c r="P219" s="24">
        <v>26395.0</v>
      </c>
      <c r="Q219" s="24">
        <v>8007.0</v>
      </c>
      <c r="R219" s="24">
        <v>6114.0</v>
      </c>
      <c r="S219" s="24">
        <v>117.0</v>
      </c>
      <c r="T219" s="24">
        <v>476.0</v>
      </c>
      <c r="U219" s="24">
        <v>20.7835</v>
      </c>
      <c r="V219" s="24">
        <v>6.3047</v>
      </c>
      <c r="W219" s="24">
        <v>4.8142</v>
      </c>
      <c r="X219" s="24">
        <v>0.0921</v>
      </c>
      <c r="Y219" s="24">
        <v>0.3748</v>
      </c>
      <c r="Z219" s="24">
        <v>110.2</v>
      </c>
      <c r="AA219" s="24">
        <v>24.1</v>
      </c>
      <c r="AB219" s="25"/>
      <c r="AC219" s="24">
        <v>51.1</v>
      </c>
      <c r="AD219" s="25"/>
      <c r="AE219" s="24">
        <v>1.078</v>
      </c>
      <c r="AF219" s="24">
        <v>1.438356</v>
      </c>
      <c r="AG219" s="51" t="s">
        <v>108</v>
      </c>
      <c r="AH219" s="51" t="s">
        <v>108</v>
      </c>
      <c r="AI219" s="24">
        <v>1.116183</v>
      </c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</row>
    <row r="220">
      <c r="A220" s="51" t="s">
        <v>52</v>
      </c>
      <c r="B220" s="51" t="s">
        <v>111</v>
      </c>
      <c r="C220" s="24">
        <v>1973.0</v>
      </c>
      <c r="D220" s="24">
        <v>0.06299</v>
      </c>
      <c r="E220" s="52">
        <v>23.8</v>
      </c>
      <c r="F220" s="53">
        <f t="shared" si="1"/>
        <v>1.655224764</v>
      </c>
      <c r="G220" s="52">
        <v>6.6</v>
      </c>
      <c r="H220" s="54">
        <f t="shared" si="2"/>
        <v>0.4437794156</v>
      </c>
      <c r="I220" s="52">
        <v>7.1</v>
      </c>
      <c r="J220" s="54">
        <f t="shared" si="3"/>
        <v>0.6496309813</v>
      </c>
      <c r="K220" s="55">
        <v>0.0</v>
      </c>
      <c r="L220" s="54" t="str">
        <f t="shared" si="4"/>
        <v>No Stat</v>
      </c>
      <c r="M220" s="55">
        <v>0.0</v>
      </c>
      <c r="N220" s="56" t="str">
        <f t="shared" si="5"/>
        <v>No Stat</v>
      </c>
      <c r="O220" s="57">
        <v>0.502</v>
      </c>
      <c r="P220" s="24">
        <v>26395.0</v>
      </c>
      <c r="Q220" s="24">
        <v>8007.0</v>
      </c>
      <c r="R220" s="24">
        <v>6114.0</v>
      </c>
      <c r="S220" s="24">
        <v>117.0</v>
      </c>
      <c r="T220" s="24">
        <v>476.0</v>
      </c>
      <c r="U220" s="24">
        <v>20.7835</v>
      </c>
      <c r="V220" s="24">
        <v>6.3047</v>
      </c>
      <c r="W220" s="24">
        <v>4.8142</v>
      </c>
      <c r="X220" s="24">
        <v>0.0921</v>
      </c>
      <c r="Y220" s="24">
        <v>0.3748</v>
      </c>
      <c r="Z220" s="24">
        <v>107.6</v>
      </c>
      <c r="AA220" s="24">
        <v>25.2</v>
      </c>
      <c r="AB220" s="25"/>
      <c r="AC220" s="24">
        <v>50.6</v>
      </c>
      <c r="AD220" s="25"/>
      <c r="AE220" s="24">
        <v>1.1041</v>
      </c>
      <c r="AF220" s="24">
        <v>1.452569</v>
      </c>
      <c r="AG220" s="51" t="s">
        <v>108</v>
      </c>
      <c r="AH220" s="51" t="s">
        <v>108</v>
      </c>
      <c r="AI220" s="24">
        <v>1.06746</v>
      </c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</row>
    <row r="221">
      <c r="A221" s="51" t="s">
        <v>52</v>
      </c>
      <c r="B221" s="51" t="s">
        <v>111</v>
      </c>
      <c r="C221" s="24">
        <v>1974.0</v>
      </c>
      <c r="D221" s="24">
        <v>0.05984</v>
      </c>
      <c r="E221" s="52">
        <v>22.6</v>
      </c>
      <c r="F221" s="53">
        <f t="shared" si="1"/>
        <v>1.519944378</v>
      </c>
      <c r="G221" s="52">
        <v>5.9</v>
      </c>
      <c r="H221" s="54">
        <f t="shared" si="2"/>
        <v>0.3860653238</v>
      </c>
      <c r="I221" s="52">
        <v>6.4</v>
      </c>
      <c r="J221" s="54">
        <f t="shared" si="3"/>
        <v>0.5839985705</v>
      </c>
      <c r="K221" s="55">
        <v>1.875</v>
      </c>
      <c r="L221" s="54">
        <f t="shared" si="4"/>
        <v>0.1238068656</v>
      </c>
      <c r="M221" s="55">
        <v>0.631578947</v>
      </c>
      <c r="N221" s="56">
        <f t="shared" si="5"/>
        <v>0.04503075898</v>
      </c>
      <c r="O221" s="57">
        <v>0.509</v>
      </c>
      <c r="P221" s="24">
        <v>26395.0</v>
      </c>
      <c r="Q221" s="24">
        <v>8007.0</v>
      </c>
      <c r="R221" s="24">
        <v>6114.0</v>
      </c>
      <c r="S221" s="24">
        <v>117.0</v>
      </c>
      <c r="T221" s="24">
        <v>476.0</v>
      </c>
      <c r="U221" s="24">
        <v>20.7835</v>
      </c>
      <c r="V221" s="24">
        <v>6.3047</v>
      </c>
      <c r="W221" s="24">
        <v>4.8142</v>
      </c>
      <c r="X221" s="24">
        <v>0.0921</v>
      </c>
      <c r="Y221" s="24">
        <v>0.3748</v>
      </c>
      <c r="Z221" s="24">
        <v>105.7</v>
      </c>
      <c r="AA221" s="24">
        <v>24.6</v>
      </c>
      <c r="AB221" s="24">
        <v>4.7</v>
      </c>
      <c r="AC221" s="24">
        <v>48.2</v>
      </c>
      <c r="AD221" s="24">
        <v>8.7</v>
      </c>
      <c r="AE221" s="24">
        <v>1.1239</v>
      </c>
      <c r="AF221" s="24">
        <v>1.524896</v>
      </c>
      <c r="AG221" s="24">
        <v>1.103448</v>
      </c>
      <c r="AH221" s="24">
        <v>1.191489</v>
      </c>
      <c r="AI221" s="24">
        <v>1.093496</v>
      </c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</row>
    <row r="222">
      <c r="A222" s="51" t="s">
        <v>52</v>
      </c>
      <c r="B222" s="51" t="s">
        <v>111</v>
      </c>
      <c r="C222" s="24">
        <v>1975.0</v>
      </c>
      <c r="D222" s="24">
        <v>0.06457</v>
      </c>
      <c r="E222" s="52">
        <v>19.2</v>
      </c>
      <c r="F222" s="53">
        <f t="shared" si="1"/>
        <v>1.435499578</v>
      </c>
      <c r="G222" s="52">
        <v>5.3</v>
      </c>
      <c r="H222" s="54">
        <f t="shared" si="2"/>
        <v>0.3867959697</v>
      </c>
      <c r="I222" s="52">
        <v>5.9</v>
      </c>
      <c r="J222" s="54">
        <f t="shared" si="3"/>
        <v>0.5944965711</v>
      </c>
      <c r="K222" s="55">
        <v>2.012195122</v>
      </c>
      <c r="L222" s="54">
        <f t="shared" si="4"/>
        <v>0.1417390126</v>
      </c>
      <c r="M222" s="55">
        <v>0.292682927</v>
      </c>
      <c r="N222" s="56">
        <f t="shared" si="5"/>
        <v>0.02461205557</v>
      </c>
      <c r="O222" s="57">
        <v>0.505</v>
      </c>
      <c r="P222" s="24">
        <v>26395.0</v>
      </c>
      <c r="Q222" s="24">
        <v>8007.0</v>
      </c>
      <c r="R222" s="24">
        <v>6114.0</v>
      </c>
      <c r="S222" s="24">
        <v>117.0</v>
      </c>
      <c r="T222" s="24">
        <v>476.0</v>
      </c>
      <c r="U222" s="24">
        <v>20.7835</v>
      </c>
      <c r="V222" s="24">
        <v>6.3047</v>
      </c>
      <c r="W222" s="24">
        <v>4.8142</v>
      </c>
      <c r="X222" s="24">
        <v>0.0921</v>
      </c>
      <c r="Y222" s="24">
        <v>0.3748</v>
      </c>
      <c r="Z222" s="24">
        <v>102.6</v>
      </c>
      <c r="AA222" s="24">
        <v>23.8</v>
      </c>
      <c r="AB222" s="24">
        <v>4.3</v>
      </c>
      <c r="AC222" s="24">
        <v>47.1</v>
      </c>
      <c r="AD222" s="24">
        <v>8.8</v>
      </c>
      <c r="AE222" s="24">
        <v>1.1579</v>
      </c>
      <c r="AF222" s="24">
        <v>1.56051</v>
      </c>
      <c r="AG222" s="24">
        <v>1.090909</v>
      </c>
      <c r="AH222" s="24">
        <v>1.302326</v>
      </c>
      <c r="AI222" s="24">
        <v>1.130252</v>
      </c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</row>
    <row r="223">
      <c r="A223" s="51" t="s">
        <v>52</v>
      </c>
      <c r="B223" s="51" t="s">
        <v>111</v>
      </c>
      <c r="C223" s="24">
        <v>1976.0</v>
      </c>
      <c r="D223" s="24">
        <v>0.05984</v>
      </c>
      <c r="E223" s="52">
        <v>17.0</v>
      </c>
      <c r="F223" s="53">
        <f t="shared" si="1"/>
        <v>1.15868192</v>
      </c>
      <c r="G223" s="52">
        <v>3.7</v>
      </c>
      <c r="H223" s="54">
        <f t="shared" si="2"/>
        <v>0.2589510475</v>
      </c>
      <c r="I223" s="52">
        <v>4.1</v>
      </c>
      <c r="J223" s="54">
        <f t="shared" si="3"/>
        <v>0.3804385028</v>
      </c>
      <c r="K223" s="55">
        <v>1.914473684</v>
      </c>
      <c r="L223" s="54">
        <f t="shared" si="4"/>
        <v>0.123572644</v>
      </c>
      <c r="M223" s="55">
        <v>0.572368421</v>
      </c>
      <c r="N223" s="56">
        <f t="shared" si="5"/>
        <v>0.0435915696</v>
      </c>
      <c r="O223" s="57">
        <v>0.508</v>
      </c>
      <c r="P223" s="24">
        <v>26395.0</v>
      </c>
      <c r="Q223" s="24">
        <v>8007.0</v>
      </c>
      <c r="R223" s="24">
        <v>6114.0</v>
      </c>
      <c r="S223" s="24">
        <v>117.0</v>
      </c>
      <c r="T223" s="24">
        <v>476.0</v>
      </c>
      <c r="U223" s="24">
        <v>20.7835</v>
      </c>
      <c r="V223" s="24">
        <v>6.3047</v>
      </c>
      <c r="W223" s="24">
        <v>4.8142</v>
      </c>
      <c r="X223" s="24">
        <v>0.0921</v>
      </c>
      <c r="Y223" s="24">
        <v>0.3748</v>
      </c>
      <c r="Z223" s="24">
        <v>104.3</v>
      </c>
      <c r="AA223" s="24">
        <v>23.0</v>
      </c>
      <c r="AB223" s="24">
        <v>4.4</v>
      </c>
      <c r="AC223" s="24">
        <v>47.4</v>
      </c>
      <c r="AD223" s="24">
        <v>8.9</v>
      </c>
      <c r="AE223" s="24">
        <v>1.139</v>
      </c>
      <c r="AF223" s="24">
        <v>1.550633</v>
      </c>
      <c r="AG223" s="24">
        <v>1.078652</v>
      </c>
      <c r="AH223" s="24">
        <v>1.272727</v>
      </c>
      <c r="AI223" s="24">
        <v>1.169565</v>
      </c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</row>
    <row r="224">
      <c r="A224" s="51" t="s">
        <v>52</v>
      </c>
      <c r="B224" s="51" t="s">
        <v>111</v>
      </c>
      <c r="C224" s="24">
        <v>1977.0</v>
      </c>
      <c r="D224" s="24">
        <v>0.0622</v>
      </c>
      <c r="E224" s="52">
        <v>17.7</v>
      </c>
      <c r="F224" s="53">
        <f t="shared" si="1"/>
        <v>1.22809857</v>
      </c>
      <c r="G224" s="52">
        <v>5.1</v>
      </c>
      <c r="H224" s="54">
        <f t="shared" si="2"/>
        <v>0.3570384061</v>
      </c>
      <c r="I224" s="52">
        <v>4.8</v>
      </c>
      <c r="J224" s="54">
        <f t="shared" si="3"/>
        <v>0.4659058656</v>
      </c>
      <c r="K224" s="55">
        <v>1.594936709</v>
      </c>
      <c r="L224" s="54">
        <f t="shared" si="4"/>
        <v>0.1013158494</v>
      </c>
      <c r="M224" s="55">
        <v>0.341772152</v>
      </c>
      <c r="N224" s="56">
        <f t="shared" si="5"/>
        <v>0.02334236326</v>
      </c>
      <c r="O224" s="57">
        <v>0.495</v>
      </c>
      <c r="P224" s="24">
        <v>26395.0</v>
      </c>
      <c r="Q224" s="24">
        <v>8007.0</v>
      </c>
      <c r="R224" s="24">
        <v>6114.0</v>
      </c>
      <c r="S224" s="24">
        <v>117.0</v>
      </c>
      <c r="T224" s="24">
        <v>476.0</v>
      </c>
      <c r="U224" s="24">
        <v>20.7835</v>
      </c>
      <c r="V224" s="24">
        <v>6.3047</v>
      </c>
      <c r="W224" s="24">
        <v>4.8142</v>
      </c>
      <c r="X224" s="24">
        <v>0.0921</v>
      </c>
      <c r="Y224" s="24">
        <v>0.3748</v>
      </c>
      <c r="Z224" s="24">
        <v>106.5</v>
      </c>
      <c r="AA224" s="24">
        <v>23.9</v>
      </c>
      <c r="AB224" s="24">
        <v>5.1</v>
      </c>
      <c r="AC224" s="24">
        <v>47.1</v>
      </c>
      <c r="AD224" s="24">
        <v>9.4</v>
      </c>
      <c r="AE224" s="24">
        <v>1.1155</v>
      </c>
      <c r="AF224" s="24">
        <v>1.56051</v>
      </c>
      <c r="AG224" s="24">
        <v>1.021277</v>
      </c>
      <c r="AH224" s="24">
        <v>1.098039</v>
      </c>
      <c r="AI224" s="24">
        <v>1.125523</v>
      </c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</row>
    <row r="225">
      <c r="A225" s="51" t="s">
        <v>52</v>
      </c>
      <c r="B225" s="51" t="s">
        <v>111</v>
      </c>
      <c r="C225" s="24">
        <v>1978.0</v>
      </c>
      <c r="D225" s="24">
        <v>0.06457</v>
      </c>
      <c r="E225" s="52">
        <v>16.1</v>
      </c>
      <c r="F225" s="53">
        <f t="shared" si="1"/>
        <v>1.138232857</v>
      </c>
      <c r="G225" s="52">
        <v>4.0</v>
      </c>
      <c r="H225" s="54">
        <f t="shared" si="2"/>
        <v>0.27790928</v>
      </c>
      <c r="I225" s="52">
        <v>4.0</v>
      </c>
      <c r="J225" s="54">
        <f t="shared" si="3"/>
        <v>0.4030485228</v>
      </c>
      <c r="K225" s="55">
        <v>1.646341463</v>
      </c>
      <c r="L225" s="54">
        <f t="shared" si="4"/>
        <v>0.1063042683</v>
      </c>
      <c r="M225" s="55">
        <v>0.402439024</v>
      </c>
      <c r="N225" s="56">
        <f t="shared" si="5"/>
        <v>0.02853307902</v>
      </c>
      <c r="O225" s="57">
        <v>0.495</v>
      </c>
      <c r="P225" s="24">
        <v>26395.0</v>
      </c>
      <c r="Q225" s="24">
        <v>8007.0</v>
      </c>
      <c r="R225" s="24">
        <v>6114.0</v>
      </c>
      <c r="S225" s="24">
        <v>117.0</v>
      </c>
      <c r="T225" s="24">
        <v>476.0</v>
      </c>
      <c r="U225" s="24">
        <v>20.7835</v>
      </c>
      <c r="V225" s="24">
        <v>6.3047</v>
      </c>
      <c r="W225" s="24">
        <v>4.8142</v>
      </c>
      <c r="X225" s="24">
        <v>0.0921</v>
      </c>
      <c r="Y225" s="24">
        <v>0.3748</v>
      </c>
      <c r="Z225" s="24">
        <v>108.5</v>
      </c>
      <c r="AA225" s="24">
        <v>25.0</v>
      </c>
      <c r="AB225" s="24">
        <v>5.1</v>
      </c>
      <c r="AC225" s="24">
        <v>47.1</v>
      </c>
      <c r="AD225" s="24">
        <v>9.6</v>
      </c>
      <c r="AE225" s="24">
        <v>1.0949</v>
      </c>
      <c r="AF225" s="24">
        <v>1.56051</v>
      </c>
      <c r="AG225" s="24">
        <v>1.0</v>
      </c>
      <c r="AH225" s="24">
        <v>1.098039</v>
      </c>
      <c r="AI225" s="24">
        <v>1.076</v>
      </c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</row>
    <row r="226">
      <c r="A226" s="51" t="s">
        <v>61</v>
      </c>
      <c r="B226" s="51" t="s">
        <v>104</v>
      </c>
      <c r="C226" s="24">
        <v>1985.0</v>
      </c>
      <c r="D226" s="24">
        <v>0.05452</v>
      </c>
      <c r="E226" s="52">
        <v>5.6</v>
      </c>
      <c r="F226" s="53">
        <f t="shared" si="1"/>
        <v>0.3273555264</v>
      </c>
      <c r="G226" s="52">
        <v>5.1</v>
      </c>
      <c r="H226" s="54">
        <f t="shared" si="2"/>
        <v>0.2843954783</v>
      </c>
      <c r="I226" s="52">
        <v>1.3</v>
      </c>
      <c r="J226" s="54">
        <f t="shared" si="3"/>
        <v>0.1197559878</v>
      </c>
      <c r="K226" s="55">
        <v>1.993902439</v>
      </c>
      <c r="L226" s="54">
        <f t="shared" si="4"/>
        <v>0.1227756239</v>
      </c>
      <c r="M226" s="55">
        <v>0.201219512</v>
      </c>
      <c r="N226" s="56">
        <f t="shared" si="5"/>
        <v>0.01159146129</v>
      </c>
      <c r="O226" s="57">
        <v>0.548</v>
      </c>
      <c r="P226" s="24">
        <v>19711.0</v>
      </c>
      <c r="Q226" s="24">
        <v>4051.0</v>
      </c>
      <c r="R226" s="24">
        <v>15806.0</v>
      </c>
      <c r="S226" s="24">
        <v>315.0</v>
      </c>
      <c r="T226" s="24">
        <v>3265.0</v>
      </c>
      <c r="U226" s="24">
        <v>13.1057</v>
      </c>
      <c r="V226" s="24">
        <v>2.6935</v>
      </c>
      <c r="W226" s="24">
        <v>10.5093</v>
      </c>
      <c r="X226" s="24">
        <v>0.2094</v>
      </c>
      <c r="Y226" s="24">
        <v>2.1709</v>
      </c>
      <c r="Z226" s="24">
        <v>110.8</v>
      </c>
      <c r="AA226" s="24">
        <v>26.3</v>
      </c>
      <c r="AB226" s="24">
        <v>5.3</v>
      </c>
      <c r="AC226" s="24">
        <v>43.5</v>
      </c>
      <c r="AD226" s="24">
        <v>8.5</v>
      </c>
      <c r="AE226" s="24">
        <v>1.0722</v>
      </c>
      <c r="AF226" s="24">
        <v>1.689655</v>
      </c>
      <c r="AG226" s="24">
        <v>1.129412</v>
      </c>
      <c r="AH226" s="24">
        <v>1.056604</v>
      </c>
      <c r="AI226" s="24">
        <v>1.022814</v>
      </c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</row>
    <row r="227">
      <c r="A227" s="51" t="s">
        <v>61</v>
      </c>
      <c r="B227" s="51" t="s">
        <v>104</v>
      </c>
      <c r="C227" s="24">
        <v>1986.0</v>
      </c>
      <c r="D227" s="24">
        <v>0.05452</v>
      </c>
      <c r="E227" s="52">
        <v>7.7</v>
      </c>
      <c r="F227" s="53">
        <f t="shared" si="1"/>
        <v>0.452548712</v>
      </c>
      <c r="G227" s="52">
        <v>7.4</v>
      </c>
      <c r="H227" s="54">
        <f t="shared" si="2"/>
        <v>0.4174133525</v>
      </c>
      <c r="I227" s="52">
        <v>2.2</v>
      </c>
      <c r="J227" s="54">
        <f t="shared" si="3"/>
        <v>0.2021991963</v>
      </c>
      <c r="K227" s="55">
        <v>2.87195122</v>
      </c>
      <c r="L227" s="54">
        <f t="shared" si="4"/>
        <v>0.1708132009</v>
      </c>
      <c r="M227" s="55">
        <v>0.182926829</v>
      </c>
      <c r="N227" s="56">
        <f t="shared" si="5"/>
        <v>0.01053769207</v>
      </c>
      <c r="O227" s="57">
        <v>0.566</v>
      </c>
      <c r="P227" s="24">
        <v>19711.0</v>
      </c>
      <c r="Q227" s="24">
        <v>4051.0</v>
      </c>
      <c r="R227" s="24">
        <v>15806.0</v>
      </c>
      <c r="S227" s="24">
        <v>315.0</v>
      </c>
      <c r="T227" s="24">
        <v>3265.0</v>
      </c>
      <c r="U227" s="24">
        <v>13.1057</v>
      </c>
      <c r="V227" s="24">
        <v>2.6935</v>
      </c>
      <c r="W227" s="24">
        <v>10.5093</v>
      </c>
      <c r="X227" s="24">
        <v>0.2094</v>
      </c>
      <c r="Y227" s="24">
        <v>2.1709</v>
      </c>
      <c r="Z227" s="24">
        <v>110.2</v>
      </c>
      <c r="AA227" s="24">
        <v>26.0</v>
      </c>
      <c r="AB227" s="24">
        <v>5.3</v>
      </c>
      <c r="AC227" s="24">
        <v>43.6</v>
      </c>
      <c r="AD227" s="24">
        <v>8.8</v>
      </c>
      <c r="AE227" s="24">
        <v>1.078</v>
      </c>
      <c r="AF227" s="24">
        <v>1.68578</v>
      </c>
      <c r="AG227" s="24">
        <v>1.090909</v>
      </c>
      <c r="AH227" s="24">
        <v>1.056604</v>
      </c>
      <c r="AI227" s="24">
        <v>1.034615</v>
      </c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</row>
    <row r="228">
      <c r="A228" s="51" t="s">
        <v>61</v>
      </c>
      <c r="B228" s="51" t="s">
        <v>104</v>
      </c>
      <c r="C228" s="24">
        <v>1987.0</v>
      </c>
      <c r="D228" s="24">
        <v>0.05452</v>
      </c>
      <c r="E228" s="52">
        <v>7.9</v>
      </c>
      <c r="F228" s="53">
        <f t="shared" si="1"/>
        <v>0.465595348</v>
      </c>
      <c r="G228" s="52">
        <v>8.2</v>
      </c>
      <c r="H228" s="54">
        <f t="shared" si="2"/>
        <v>0.4625391204</v>
      </c>
      <c r="I228" s="52">
        <v>1.8</v>
      </c>
      <c r="J228" s="54">
        <f t="shared" si="3"/>
        <v>0.1639317719</v>
      </c>
      <c r="K228" s="55">
        <v>3.237804878</v>
      </c>
      <c r="L228" s="54">
        <f t="shared" si="4"/>
        <v>0.1970512866</v>
      </c>
      <c r="M228" s="55">
        <v>0.256097561</v>
      </c>
      <c r="N228" s="56">
        <f t="shared" si="5"/>
        <v>0.01421630409</v>
      </c>
      <c r="O228" s="57">
        <v>0.575</v>
      </c>
      <c r="P228" s="24">
        <v>19711.0</v>
      </c>
      <c r="Q228" s="24">
        <v>4051.0</v>
      </c>
      <c r="R228" s="24">
        <v>15806.0</v>
      </c>
      <c r="S228" s="24">
        <v>315.0</v>
      </c>
      <c r="T228" s="24">
        <v>3265.0</v>
      </c>
      <c r="U228" s="24">
        <v>13.1057</v>
      </c>
      <c r="V228" s="24">
        <v>2.6935</v>
      </c>
      <c r="W228" s="24">
        <v>10.5093</v>
      </c>
      <c r="X228" s="24">
        <v>0.2094</v>
      </c>
      <c r="Y228" s="24">
        <v>2.1709</v>
      </c>
      <c r="Z228" s="24">
        <v>109.9</v>
      </c>
      <c r="AA228" s="24">
        <v>26.0</v>
      </c>
      <c r="AB228" s="24">
        <v>5.5</v>
      </c>
      <c r="AC228" s="24">
        <v>44.0</v>
      </c>
      <c r="AD228" s="24">
        <v>8.6</v>
      </c>
      <c r="AE228" s="24">
        <v>1.081</v>
      </c>
      <c r="AF228" s="24">
        <v>1.670455</v>
      </c>
      <c r="AG228" s="24">
        <v>1.116279</v>
      </c>
      <c r="AH228" s="24">
        <v>1.018182</v>
      </c>
      <c r="AI228" s="24">
        <v>1.034615</v>
      </c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</row>
    <row r="229">
      <c r="A229" s="51" t="s">
        <v>61</v>
      </c>
      <c r="B229" s="51" t="s">
        <v>104</v>
      </c>
      <c r="C229" s="24">
        <v>1988.0</v>
      </c>
      <c r="D229" s="24">
        <v>0.05452</v>
      </c>
      <c r="E229" s="52">
        <v>14.7</v>
      </c>
      <c r="F229" s="53">
        <f t="shared" si="1"/>
        <v>0.879985512</v>
      </c>
      <c r="G229" s="52">
        <v>13.8</v>
      </c>
      <c r="H229" s="54">
        <f t="shared" si="2"/>
        <v>0.7844543031</v>
      </c>
      <c r="I229" s="52">
        <v>2.9</v>
      </c>
      <c r="J229" s="54">
        <f t="shared" si="3"/>
        <v>0.2677634872</v>
      </c>
      <c r="K229" s="55">
        <v>4.426829268</v>
      </c>
      <c r="L229" s="54">
        <f t="shared" si="4"/>
        <v>0.2725844126</v>
      </c>
      <c r="M229" s="55">
        <v>0.292682927</v>
      </c>
      <c r="N229" s="56">
        <f t="shared" si="5"/>
        <v>0.0165480753</v>
      </c>
      <c r="O229" s="57">
        <v>0.645</v>
      </c>
      <c r="P229" s="24">
        <v>19711.0</v>
      </c>
      <c r="Q229" s="24">
        <v>4051.0</v>
      </c>
      <c r="R229" s="24">
        <v>15806.0</v>
      </c>
      <c r="S229" s="24">
        <v>315.0</v>
      </c>
      <c r="T229" s="24">
        <v>3265.0</v>
      </c>
      <c r="U229" s="24">
        <v>13.1057</v>
      </c>
      <c r="V229" s="24">
        <v>2.6935</v>
      </c>
      <c r="W229" s="24">
        <v>10.5093</v>
      </c>
      <c r="X229" s="24">
        <v>0.2094</v>
      </c>
      <c r="Y229" s="24">
        <v>2.1709</v>
      </c>
      <c r="Z229" s="24">
        <v>108.2</v>
      </c>
      <c r="AA229" s="24">
        <v>25.8</v>
      </c>
      <c r="AB229" s="24">
        <v>5.4</v>
      </c>
      <c r="AC229" s="24">
        <v>43.4</v>
      </c>
      <c r="AD229" s="24">
        <v>8.5</v>
      </c>
      <c r="AE229" s="24">
        <v>1.098</v>
      </c>
      <c r="AF229" s="24">
        <v>1.693548</v>
      </c>
      <c r="AG229" s="24">
        <v>1.129412</v>
      </c>
      <c r="AH229" s="24">
        <v>1.037037</v>
      </c>
      <c r="AI229" s="24">
        <v>1.042636</v>
      </c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</row>
    <row r="230">
      <c r="A230" s="51" t="s">
        <v>61</v>
      </c>
      <c r="B230" s="51" t="s">
        <v>104</v>
      </c>
      <c r="C230" s="24">
        <v>1989.0</v>
      </c>
      <c r="D230" s="24">
        <v>0.05452</v>
      </c>
      <c r="E230" s="52">
        <v>17.1</v>
      </c>
      <c r="F230" s="53">
        <f t="shared" si="1"/>
        <v>1.014240467</v>
      </c>
      <c r="G230" s="52">
        <v>13.6</v>
      </c>
      <c r="H230" s="54">
        <f t="shared" si="2"/>
        <v>0.7791246896</v>
      </c>
      <c r="I230" s="52">
        <v>3.0</v>
      </c>
      <c r="J230" s="54">
        <f t="shared" si="3"/>
        <v>0.2738419656</v>
      </c>
      <c r="K230" s="55">
        <v>4.81097561</v>
      </c>
      <c r="L230" s="54">
        <f t="shared" si="4"/>
        <v>0.2767061555</v>
      </c>
      <c r="M230" s="55">
        <v>0.256097561</v>
      </c>
      <c r="N230" s="56">
        <f t="shared" si="5"/>
        <v>0.01475276892</v>
      </c>
      <c r="O230" s="57">
        <v>0.624</v>
      </c>
      <c r="P230" s="24">
        <v>19711.0</v>
      </c>
      <c r="Q230" s="24">
        <v>4051.0</v>
      </c>
      <c r="R230" s="24">
        <v>15806.0</v>
      </c>
      <c r="S230" s="24">
        <v>315.0</v>
      </c>
      <c r="T230" s="24">
        <v>3265.0</v>
      </c>
      <c r="U230" s="24">
        <v>13.1057</v>
      </c>
      <c r="V230" s="24">
        <v>2.6935</v>
      </c>
      <c r="W230" s="24">
        <v>10.5093</v>
      </c>
      <c r="X230" s="24">
        <v>0.2094</v>
      </c>
      <c r="Y230" s="24">
        <v>2.1709</v>
      </c>
      <c r="Z230" s="24">
        <v>109.2</v>
      </c>
      <c r="AA230" s="24">
        <v>25.6</v>
      </c>
      <c r="AB230" s="24">
        <v>5.3</v>
      </c>
      <c r="AC230" s="24">
        <v>43.9</v>
      </c>
      <c r="AD230" s="24">
        <v>9.1</v>
      </c>
      <c r="AE230" s="24">
        <v>1.0879</v>
      </c>
      <c r="AF230" s="24">
        <v>1.67426</v>
      </c>
      <c r="AG230" s="24">
        <v>1.054945</v>
      </c>
      <c r="AH230" s="24">
        <v>1.056604</v>
      </c>
      <c r="AI230" s="24">
        <v>1.050781</v>
      </c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</row>
    <row r="231">
      <c r="A231" s="51" t="s">
        <v>61</v>
      </c>
      <c r="B231" s="51" t="s">
        <v>104</v>
      </c>
      <c r="C231" s="24">
        <v>1990.0</v>
      </c>
      <c r="D231" s="24">
        <v>0.05186</v>
      </c>
      <c r="E231" s="52">
        <v>17.2</v>
      </c>
      <c r="F231" s="53">
        <f t="shared" si="1"/>
        <v>0.9903787176</v>
      </c>
      <c r="G231" s="52">
        <v>14.5</v>
      </c>
      <c r="H231" s="54">
        <f t="shared" si="2"/>
        <v>0.8123689824</v>
      </c>
      <c r="I231" s="52">
        <v>2.6</v>
      </c>
      <c r="J231" s="54">
        <f t="shared" si="3"/>
        <v>0.2299406849</v>
      </c>
      <c r="K231" s="55">
        <v>3.980769231</v>
      </c>
      <c r="L231" s="54">
        <f t="shared" si="4"/>
        <v>0.233158854</v>
      </c>
      <c r="M231" s="55">
        <v>0.346153846</v>
      </c>
      <c r="N231" s="56">
        <f t="shared" si="5"/>
        <v>0.01971148933</v>
      </c>
      <c r="O231" s="57">
        <v>0.607</v>
      </c>
      <c r="P231" s="24">
        <v>19711.0</v>
      </c>
      <c r="Q231" s="24">
        <v>4051.0</v>
      </c>
      <c r="R231" s="24">
        <v>15806.0</v>
      </c>
      <c r="S231" s="24">
        <v>315.0</v>
      </c>
      <c r="T231" s="24">
        <v>3265.0</v>
      </c>
      <c r="U231" s="24">
        <v>13.1057</v>
      </c>
      <c r="V231" s="24">
        <v>2.6935</v>
      </c>
      <c r="W231" s="24">
        <v>10.5093</v>
      </c>
      <c r="X231" s="24">
        <v>0.2094</v>
      </c>
      <c r="Y231" s="24">
        <v>2.1709</v>
      </c>
      <c r="Z231" s="24">
        <v>107.0</v>
      </c>
      <c r="AA231" s="24">
        <v>24.9</v>
      </c>
      <c r="AB231" s="24">
        <v>5.1</v>
      </c>
      <c r="AC231" s="24">
        <v>43.1</v>
      </c>
      <c r="AD231" s="24">
        <v>8.5</v>
      </c>
      <c r="AE231" s="24">
        <v>1.1103</v>
      </c>
      <c r="AF231" s="24">
        <v>1.705336</v>
      </c>
      <c r="AG231" s="24">
        <v>1.129412</v>
      </c>
      <c r="AH231" s="24">
        <v>1.098039</v>
      </c>
      <c r="AI231" s="24">
        <v>1.080321</v>
      </c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</row>
    <row r="232">
      <c r="A232" s="51" t="s">
        <v>61</v>
      </c>
      <c r="B232" s="51" t="s">
        <v>104</v>
      </c>
      <c r="C232" s="24">
        <v>1991.0</v>
      </c>
      <c r="D232" s="24">
        <v>0.05452</v>
      </c>
      <c r="E232" s="52">
        <v>17.2</v>
      </c>
      <c r="F232" s="53">
        <f t="shared" si="1"/>
        <v>1.048022694</v>
      </c>
      <c r="G232" s="52">
        <v>14.2</v>
      </c>
      <c r="H232" s="54">
        <f t="shared" si="2"/>
        <v>0.8431397947</v>
      </c>
      <c r="I232" s="52">
        <v>2.9</v>
      </c>
      <c r="J232" s="54">
        <f t="shared" si="3"/>
        <v>0.2683820057</v>
      </c>
      <c r="K232" s="55">
        <v>4.280487805</v>
      </c>
      <c r="L232" s="54">
        <f t="shared" si="4"/>
        <v>0.2605084806</v>
      </c>
      <c r="M232" s="55">
        <v>0.292682927</v>
      </c>
      <c r="N232" s="56">
        <f t="shared" si="5"/>
        <v>0.01686030735</v>
      </c>
      <c r="O232" s="57">
        <v>0.604</v>
      </c>
      <c r="P232" s="24">
        <v>19711.0</v>
      </c>
      <c r="Q232" s="24">
        <v>4051.0</v>
      </c>
      <c r="R232" s="24">
        <v>15806.0</v>
      </c>
      <c r="S232" s="24">
        <v>315.0</v>
      </c>
      <c r="T232" s="24">
        <v>3265.0</v>
      </c>
      <c r="U232" s="24">
        <v>13.1057</v>
      </c>
      <c r="V232" s="24">
        <v>2.6935</v>
      </c>
      <c r="W232" s="24">
        <v>10.5093</v>
      </c>
      <c r="X232" s="24">
        <v>0.2094</v>
      </c>
      <c r="Y232" s="24">
        <v>2.1709</v>
      </c>
      <c r="Z232" s="24">
        <v>106.3</v>
      </c>
      <c r="AA232" s="24">
        <v>24.7</v>
      </c>
      <c r="AB232" s="24">
        <v>5.3</v>
      </c>
      <c r="AC232" s="24">
        <v>43.3</v>
      </c>
      <c r="AD232" s="24">
        <v>8.6</v>
      </c>
      <c r="AE232" s="24">
        <v>1.1176</v>
      </c>
      <c r="AF232" s="24">
        <v>1.69746</v>
      </c>
      <c r="AG232" s="24">
        <v>1.116279</v>
      </c>
      <c r="AH232" s="24">
        <v>1.056604</v>
      </c>
      <c r="AI232" s="24">
        <v>1.089069</v>
      </c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</row>
    <row r="233">
      <c r="A233" s="51" t="s">
        <v>61</v>
      </c>
      <c r="B233" s="51" t="s">
        <v>104</v>
      </c>
      <c r="C233" s="24">
        <v>1992.0</v>
      </c>
      <c r="D233" s="24">
        <v>0.05452</v>
      </c>
      <c r="E233" s="52">
        <v>15.8</v>
      </c>
      <c r="F233" s="53">
        <f t="shared" si="1"/>
        <v>0.9718495312</v>
      </c>
      <c r="G233" s="52">
        <v>13.7</v>
      </c>
      <c r="H233" s="54">
        <f t="shared" si="2"/>
        <v>0.8200919281</v>
      </c>
      <c r="I233" s="52">
        <v>3.3</v>
      </c>
      <c r="J233" s="54">
        <f t="shared" si="3"/>
        <v>0.3026046786</v>
      </c>
      <c r="K233" s="55">
        <v>4.463414634</v>
      </c>
      <c r="L233" s="54">
        <f t="shared" si="4"/>
        <v>0.2716413216</v>
      </c>
      <c r="M233" s="55">
        <v>0.402439024</v>
      </c>
      <c r="N233" s="56">
        <f t="shared" si="5"/>
        <v>0.02233990641</v>
      </c>
      <c r="O233" s="57">
        <v>0.59</v>
      </c>
      <c r="P233" s="24">
        <v>19711.0</v>
      </c>
      <c r="Q233" s="24">
        <v>4051.0</v>
      </c>
      <c r="R233" s="24">
        <v>15806.0</v>
      </c>
      <c r="S233" s="24">
        <v>315.0</v>
      </c>
      <c r="T233" s="24">
        <v>3265.0</v>
      </c>
      <c r="U233" s="24">
        <v>13.1057</v>
      </c>
      <c r="V233" s="24">
        <v>2.6935</v>
      </c>
      <c r="W233" s="24">
        <v>10.5093</v>
      </c>
      <c r="X233" s="24">
        <v>0.2094</v>
      </c>
      <c r="Y233" s="24">
        <v>2.1709</v>
      </c>
      <c r="Z233" s="24">
        <v>105.3</v>
      </c>
      <c r="AA233" s="24">
        <v>24.5</v>
      </c>
      <c r="AB233" s="24">
        <v>5.5</v>
      </c>
      <c r="AC233" s="24">
        <v>43.7</v>
      </c>
      <c r="AD233" s="24">
        <v>8.6</v>
      </c>
      <c r="AE233" s="24">
        <v>1.1282</v>
      </c>
      <c r="AF233" s="24">
        <v>1.681922</v>
      </c>
      <c r="AG233" s="24">
        <v>1.116279</v>
      </c>
      <c r="AH233" s="24">
        <v>1.018182</v>
      </c>
      <c r="AI233" s="24">
        <v>1.097959</v>
      </c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</row>
    <row r="234">
      <c r="A234" s="51" t="s">
        <v>61</v>
      </c>
      <c r="B234" s="51" t="s">
        <v>104</v>
      </c>
      <c r="C234" s="24">
        <v>1993.0</v>
      </c>
      <c r="D234" s="24">
        <v>0.05452</v>
      </c>
      <c r="E234" s="52">
        <v>15.1</v>
      </c>
      <c r="F234" s="53">
        <f t="shared" si="1"/>
        <v>0.9287929064</v>
      </c>
      <c r="G234" s="52">
        <v>12.0</v>
      </c>
      <c r="H234" s="54">
        <f t="shared" si="2"/>
        <v>0.7125125026</v>
      </c>
      <c r="I234" s="52">
        <v>2.9</v>
      </c>
      <c r="J234" s="54">
        <f t="shared" si="3"/>
        <v>0.2696272643</v>
      </c>
      <c r="K234" s="55">
        <v>3.640243902</v>
      </c>
      <c r="L234" s="54">
        <f t="shared" si="4"/>
        <v>0.2215435369</v>
      </c>
      <c r="M234" s="55">
        <v>0.384146341</v>
      </c>
      <c r="N234" s="56">
        <f t="shared" si="5"/>
        <v>0.02255470755</v>
      </c>
      <c r="O234" s="57">
        <v>0.584</v>
      </c>
      <c r="P234" s="24">
        <v>19711.0</v>
      </c>
      <c r="Q234" s="24">
        <v>4051.0</v>
      </c>
      <c r="R234" s="24">
        <v>15806.0</v>
      </c>
      <c r="S234" s="24">
        <v>315.0</v>
      </c>
      <c r="T234" s="24">
        <v>3265.0</v>
      </c>
      <c r="U234" s="24">
        <v>13.1057</v>
      </c>
      <c r="V234" s="24">
        <v>2.6935</v>
      </c>
      <c r="W234" s="24">
        <v>10.5093</v>
      </c>
      <c r="X234" s="24">
        <v>0.2094</v>
      </c>
      <c r="Y234" s="24">
        <v>2.1709</v>
      </c>
      <c r="Z234" s="24">
        <v>105.3</v>
      </c>
      <c r="AA234" s="24">
        <v>24.7</v>
      </c>
      <c r="AB234" s="24">
        <v>5.2</v>
      </c>
      <c r="AC234" s="24">
        <v>43.1</v>
      </c>
      <c r="AD234" s="24">
        <v>8.6</v>
      </c>
      <c r="AE234" s="24">
        <v>1.1282</v>
      </c>
      <c r="AF234" s="24">
        <v>1.705336</v>
      </c>
      <c r="AG234" s="24">
        <v>1.116279</v>
      </c>
      <c r="AH234" s="24">
        <v>1.076923</v>
      </c>
      <c r="AI234" s="24">
        <v>1.089069</v>
      </c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</row>
    <row r="235">
      <c r="A235" s="51" t="s">
        <v>61</v>
      </c>
      <c r="B235" s="51" t="s">
        <v>104</v>
      </c>
      <c r="C235" s="24">
        <v>1994.0</v>
      </c>
      <c r="D235" s="24">
        <v>0.05452</v>
      </c>
      <c r="E235" s="52">
        <v>15.1</v>
      </c>
      <c r="F235" s="53">
        <f t="shared" si="1"/>
        <v>0.9635341408</v>
      </c>
      <c r="G235" s="52">
        <v>12.6</v>
      </c>
      <c r="H235" s="54">
        <f t="shared" si="2"/>
        <v>0.757336415</v>
      </c>
      <c r="I235" s="52">
        <v>3.1</v>
      </c>
      <c r="J235" s="54">
        <f t="shared" si="3"/>
        <v>0.2888925496</v>
      </c>
      <c r="K235" s="55">
        <v>3.640243902</v>
      </c>
      <c r="L235" s="54">
        <f t="shared" si="4"/>
        <v>0.214075853</v>
      </c>
      <c r="M235" s="55">
        <v>0.402439024</v>
      </c>
      <c r="N235" s="56">
        <f t="shared" si="5"/>
        <v>0.02362874125</v>
      </c>
      <c r="O235" s="57">
        <v>0.608</v>
      </c>
      <c r="P235" s="24">
        <v>19711.0</v>
      </c>
      <c r="Q235" s="24">
        <v>4051.0</v>
      </c>
      <c r="R235" s="24">
        <v>15806.0</v>
      </c>
      <c r="S235" s="24">
        <v>315.0</v>
      </c>
      <c r="T235" s="24">
        <v>3265.0</v>
      </c>
      <c r="U235" s="24">
        <v>13.1057</v>
      </c>
      <c r="V235" s="24">
        <v>2.6935</v>
      </c>
      <c r="W235" s="24">
        <v>10.5093</v>
      </c>
      <c r="X235" s="24">
        <v>0.2094</v>
      </c>
      <c r="Y235" s="24">
        <v>2.1709</v>
      </c>
      <c r="Z235" s="24">
        <v>101.5</v>
      </c>
      <c r="AA235" s="24">
        <v>24.4</v>
      </c>
      <c r="AB235" s="24">
        <v>5.2</v>
      </c>
      <c r="AC235" s="24">
        <v>43.0</v>
      </c>
      <c r="AD235" s="24">
        <v>8.9</v>
      </c>
      <c r="AE235" s="24">
        <v>1.1704</v>
      </c>
      <c r="AF235" s="24">
        <v>1.709302</v>
      </c>
      <c r="AG235" s="24">
        <v>1.078652</v>
      </c>
      <c r="AH235" s="24">
        <v>1.076923</v>
      </c>
      <c r="AI235" s="24">
        <v>1.102459</v>
      </c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</row>
    <row r="236">
      <c r="A236" s="51" t="s">
        <v>61</v>
      </c>
      <c r="B236" s="51" t="s">
        <v>104</v>
      </c>
      <c r="C236" s="24">
        <v>1995.0</v>
      </c>
      <c r="D236" s="24">
        <v>0.05452</v>
      </c>
      <c r="E236" s="52">
        <v>14.7</v>
      </c>
      <c r="F236" s="53">
        <f t="shared" si="1"/>
        <v>0.9389717904</v>
      </c>
      <c r="G236" s="52">
        <v>12.3</v>
      </c>
      <c r="H236" s="54">
        <f t="shared" si="2"/>
        <v>0.7708990555</v>
      </c>
      <c r="I236" s="52">
        <v>3.1</v>
      </c>
      <c r="J236" s="54">
        <f t="shared" si="3"/>
        <v>0.2986149649</v>
      </c>
      <c r="K236" s="55">
        <v>3.548780488</v>
      </c>
      <c r="L236" s="54">
        <f t="shared" si="4"/>
        <v>0.2237836278</v>
      </c>
      <c r="M236" s="55">
        <v>0.402439024</v>
      </c>
      <c r="N236" s="56">
        <f t="shared" si="5"/>
        <v>0.02362874125</v>
      </c>
      <c r="O236" s="57">
        <v>0.651</v>
      </c>
      <c r="P236" s="24">
        <v>19711.0</v>
      </c>
      <c r="Q236" s="24">
        <v>4051.0</v>
      </c>
      <c r="R236" s="24">
        <v>15806.0</v>
      </c>
      <c r="S236" s="24">
        <v>315.0</v>
      </c>
      <c r="T236" s="24">
        <v>3265.0</v>
      </c>
      <c r="U236" s="24">
        <v>13.1057</v>
      </c>
      <c r="V236" s="24">
        <v>2.6935</v>
      </c>
      <c r="W236" s="24">
        <v>10.5093</v>
      </c>
      <c r="X236" s="24">
        <v>0.2094</v>
      </c>
      <c r="Y236" s="24">
        <v>2.1709</v>
      </c>
      <c r="Z236" s="24">
        <v>101.4</v>
      </c>
      <c r="AA236" s="24">
        <v>23.4</v>
      </c>
      <c r="AB236" s="24">
        <v>5.2</v>
      </c>
      <c r="AC236" s="24">
        <v>41.6</v>
      </c>
      <c r="AD236" s="24">
        <v>8.3</v>
      </c>
      <c r="AE236" s="24">
        <v>1.1716</v>
      </c>
      <c r="AF236" s="24">
        <v>1.766827</v>
      </c>
      <c r="AG236" s="24">
        <v>1.156627</v>
      </c>
      <c r="AH236" s="24">
        <v>1.076923</v>
      </c>
      <c r="AI236" s="24">
        <v>1.149573</v>
      </c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</row>
    <row r="237">
      <c r="A237" s="51" t="s">
        <v>61</v>
      </c>
      <c r="B237" s="51" t="s">
        <v>104</v>
      </c>
      <c r="C237" s="24">
        <v>1996.0</v>
      </c>
      <c r="D237" s="24">
        <v>0.05452</v>
      </c>
      <c r="E237" s="52">
        <v>14.7</v>
      </c>
      <c r="F237" s="53">
        <f t="shared" si="1"/>
        <v>0.956924136</v>
      </c>
      <c r="G237" s="52">
        <v>11.2</v>
      </c>
      <c r="H237" s="54">
        <f t="shared" si="2"/>
        <v>0.7236028737</v>
      </c>
      <c r="I237" s="52">
        <v>2.8</v>
      </c>
      <c r="J237" s="54">
        <f t="shared" si="3"/>
        <v>0.2716759296</v>
      </c>
      <c r="K237" s="55">
        <v>2.56097561</v>
      </c>
      <c r="L237" s="54">
        <f t="shared" si="4"/>
        <v>0.1675492683</v>
      </c>
      <c r="M237" s="55">
        <v>0.274390244</v>
      </c>
      <c r="N237" s="56">
        <f t="shared" si="5"/>
        <v>0.01642639563</v>
      </c>
      <c r="O237" s="57">
        <v>0.642</v>
      </c>
      <c r="P237" s="24">
        <v>19711.0</v>
      </c>
      <c r="Q237" s="24">
        <v>4051.0</v>
      </c>
      <c r="R237" s="24">
        <v>15806.0</v>
      </c>
      <c r="S237" s="24">
        <v>315.0</v>
      </c>
      <c r="T237" s="24">
        <v>3265.0</v>
      </c>
      <c r="U237" s="24">
        <v>13.1057</v>
      </c>
      <c r="V237" s="24">
        <v>2.6935</v>
      </c>
      <c r="W237" s="24">
        <v>10.5093</v>
      </c>
      <c r="X237" s="24">
        <v>0.2094</v>
      </c>
      <c r="Y237" s="24">
        <v>2.1709</v>
      </c>
      <c r="Z237" s="24">
        <v>99.5</v>
      </c>
      <c r="AA237" s="24">
        <v>22.7</v>
      </c>
      <c r="AB237" s="24">
        <v>5.1</v>
      </c>
      <c r="AC237" s="24">
        <v>41.3</v>
      </c>
      <c r="AD237" s="24">
        <v>8.0</v>
      </c>
      <c r="AE237" s="24">
        <v>1.194</v>
      </c>
      <c r="AF237" s="24">
        <v>1.779661</v>
      </c>
      <c r="AG237" s="24">
        <v>1.2</v>
      </c>
      <c r="AH237" s="24">
        <v>1.098039</v>
      </c>
      <c r="AI237" s="24">
        <v>1.185022</v>
      </c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</row>
    <row r="238">
      <c r="A238" s="51" t="s">
        <v>61</v>
      </c>
      <c r="B238" s="51" t="s">
        <v>104</v>
      </c>
      <c r="C238" s="24">
        <v>1997.0</v>
      </c>
      <c r="D238" s="24">
        <v>0.05452</v>
      </c>
      <c r="E238" s="52">
        <v>14.4</v>
      </c>
      <c r="F238" s="53">
        <f t="shared" si="1"/>
        <v>0.962517888</v>
      </c>
      <c r="G238" s="52">
        <v>10.5</v>
      </c>
      <c r="H238" s="54">
        <f t="shared" si="2"/>
        <v>0.6999622984</v>
      </c>
      <c r="I238" s="52">
        <v>2.8</v>
      </c>
      <c r="J238" s="54">
        <f t="shared" si="3"/>
        <v>0.2729979306</v>
      </c>
      <c r="K238" s="55">
        <v>3.036585366</v>
      </c>
      <c r="L238" s="54">
        <f t="shared" si="4"/>
        <v>0.193820108</v>
      </c>
      <c r="M238" s="55">
        <v>0.274390244</v>
      </c>
      <c r="N238" s="56">
        <f t="shared" si="5"/>
        <v>0.01709686198</v>
      </c>
      <c r="O238" s="57">
        <v>0.656</v>
      </c>
      <c r="P238" s="24">
        <v>19711.0</v>
      </c>
      <c r="Q238" s="24">
        <v>4051.0</v>
      </c>
      <c r="R238" s="24">
        <v>15806.0</v>
      </c>
      <c r="S238" s="24">
        <v>315.0</v>
      </c>
      <c r="T238" s="24">
        <v>3265.0</v>
      </c>
      <c r="U238" s="24">
        <v>13.1057</v>
      </c>
      <c r="V238" s="24">
        <v>2.6935</v>
      </c>
      <c r="W238" s="24">
        <v>10.5093</v>
      </c>
      <c r="X238" s="24">
        <v>0.2094</v>
      </c>
      <c r="Y238" s="24">
        <v>2.1709</v>
      </c>
      <c r="Z238" s="24">
        <v>96.9</v>
      </c>
      <c r="AA238" s="24">
        <v>22.0</v>
      </c>
      <c r="AB238" s="24">
        <v>4.9</v>
      </c>
      <c r="AC238" s="24">
        <v>41.1</v>
      </c>
      <c r="AD238" s="24">
        <v>8.2</v>
      </c>
      <c r="AE238" s="24">
        <v>1.226</v>
      </c>
      <c r="AF238" s="24">
        <v>1.788321</v>
      </c>
      <c r="AG238" s="24">
        <v>1.170732</v>
      </c>
      <c r="AH238" s="24">
        <v>1.142857</v>
      </c>
      <c r="AI238" s="24">
        <v>1.222727</v>
      </c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</row>
    <row r="239">
      <c r="A239" s="51" t="s">
        <v>61</v>
      </c>
      <c r="B239" s="51" t="s">
        <v>104</v>
      </c>
      <c r="C239" s="24">
        <v>1998.0</v>
      </c>
      <c r="D239" s="24">
        <v>0.04255</v>
      </c>
      <c r="E239" s="52">
        <v>12.0</v>
      </c>
      <c r="F239" s="53">
        <f t="shared" si="1"/>
        <v>0.63452262</v>
      </c>
      <c r="G239" s="52">
        <v>8.5</v>
      </c>
      <c r="H239" s="54">
        <f t="shared" si="2"/>
        <v>0.4422297877</v>
      </c>
      <c r="I239" s="52">
        <v>2.6</v>
      </c>
      <c r="J239" s="54">
        <f t="shared" si="3"/>
        <v>0.1959350229</v>
      </c>
      <c r="K239" s="55">
        <v>2.0859375</v>
      </c>
      <c r="L239" s="54">
        <f t="shared" si="4"/>
        <v>0.101436148</v>
      </c>
      <c r="M239" s="55">
        <v>0.234375</v>
      </c>
      <c r="N239" s="56">
        <f t="shared" si="5"/>
        <v>0.0109503655</v>
      </c>
      <c r="O239" s="57">
        <v>0.628</v>
      </c>
      <c r="P239" s="24">
        <v>19711.0</v>
      </c>
      <c r="Q239" s="24">
        <v>4051.0</v>
      </c>
      <c r="R239" s="24">
        <v>15806.0</v>
      </c>
      <c r="S239" s="24">
        <v>315.0</v>
      </c>
      <c r="T239" s="24">
        <v>3265.0</v>
      </c>
      <c r="U239" s="24">
        <v>13.1057</v>
      </c>
      <c r="V239" s="24">
        <v>2.6935</v>
      </c>
      <c r="W239" s="24">
        <v>10.5093</v>
      </c>
      <c r="X239" s="24">
        <v>0.2094</v>
      </c>
      <c r="Y239" s="24">
        <v>2.1709</v>
      </c>
      <c r="Z239" s="24">
        <v>95.6</v>
      </c>
      <c r="AA239" s="24">
        <v>22.0</v>
      </c>
      <c r="AB239" s="24">
        <v>5.1</v>
      </c>
      <c r="AC239" s="24">
        <v>41.5</v>
      </c>
      <c r="AD239" s="24">
        <v>8.4</v>
      </c>
      <c r="AE239" s="24">
        <v>1.2427</v>
      </c>
      <c r="AF239" s="24">
        <v>1.771084</v>
      </c>
      <c r="AG239" s="24">
        <v>1.142857</v>
      </c>
      <c r="AH239" s="24">
        <v>1.098039</v>
      </c>
      <c r="AI239" s="24">
        <v>1.222727</v>
      </c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</row>
    <row r="240">
      <c r="A240" s="51" t="s">
        <v>61</v>
      </c>
      <c r="B240" s="51" t="s">
        <v>104</v>
      </c>
      <c r="C240" s="24">
        <v>1999.0</v>
      </c>
      <c r="D240" s="24">
        <v>0.03324</v>
      </c>
      <c r="E240" s="52">
        <v>11.1</v>
      </c>
      <c r="F240" s="53">
        <f t="shared" si="1"/>
        <v>0.4785094116</v>
      </c>
      <c r="G240" s="52">
        <v>7.5</v>
      </c>
      <c r="H240" s="54">
        <f t="shared" si="2"/>
        <v>0.3239695881</v>
      </c>
      <c r="I240" s="52">
        <v>2.9</v>
      </c>
      <c r="J240" s="54">
        <f t="shared" si="3"/>
        <v>0.1699066256</v>
      </c>
      <c r="K240" s="55">
        <v>2.43</v>
      </c>
      <c r="L240" s="54">
        <f t="shared" si="4"/>
        <v>0.09231221703</v>
      </c>
      <c r="M240" s="55">
        <v>0.39</v>
      </c>
      <c r="N240" s="56">
        <f t="shared" si="5"/>
        <v>0.014519232</v>
      </c>
      <c r="O240" s="57">
        <v>0.571</v>
      </c>
      <c r="P240" s="24">
        <v>19711.0</v>
      </c>
      <c r="Q240" s="24">
        <v>4051.0</v>
      </c>
      <c r="R240" s="24">
        <v>15806.0</v>
      </c>
      <c r="S240" s="24">
        <v>315.0</v>
      </c>
      <c r="T240" s="24">
        <v>3265.0</v>
      </c>
      <c r="U240" s="24">
        <v>13.1057</v>
      </c>
      <c r="V240" s="24">
        <v>2.6935</v>
      </c>
      <c r="W240" s="24">
        <v>10.5093</v>
      </c>
      <c r="X240" s="24">
        <v>0.2094</v>
      </c>
      <c r="Y240" s="24">
        <v>2.1709</v>
      </c>
      <c r="Z240" s="24">
        <v>91.6</v>
      </c>
      <c r="AA240" s="24">
        <v>20.7</v>
      </c>
      <c r="AB240" s="24">
        <v>5.0</v>
      </c>
      <c r="AC240" s="24">
        <v>41.7</v>
      </c>
      <c r="AD240" s="24">
        <v>8.4</v>
      </c>
      <c r="AE240" s="24">
        <v>1.2969</v>
      </c>
      <c r="AF240" s="24">
        <v>1.76259</v>
      </c>
      <c r="AG240" s="24">
        <v>1.142857</v>
      </c>
      <c r="AH240" s="24">
        <v>1.12</v>
      </c>
      <c r="AI240" s="24">
        <v>1.299517</v>
      </c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</row>
    <row r="241">
      <c r="A241" s="51" t="s">
        <v>61</v>
      </c>
      <c r="B241" s="51" t="s">
        <v>104</v>
      </c>
      <c r="C241" s="24">
        <v>2000.0</v>
      </c>
      <c r="D241" s="24">
        <v>0.05452</v>
      </c>
      <c r="E241" s="52">
        <v>12.1</v>
      </c>
      <c r="F241" s="53">
        <f t="shared" si="1"/>
        <v>0.803834702</v>
      </c>
      <c r="G241" s="52">
        <v>8.6</v>
      </c>
      <c r="H241" s="54">
        <f t="shared" si="2"/>
        <v>0.5655899784</v>
      </c>
      <c r="I241" s="52">
        <v>2.6</v>
      </c>
      <c r="J241" s="54">
        <f t="shared" si="3"/>
        <v>0.2428618588</v>
      </c>
      <c r="K241" s="55">
        <v>2.615853659</v>
      </c>
      <c r="L241" s="54">
        <f t="shared" si="4"/>
        <v>0.173305952</v>
      </c>
      <c r="M241" s="55">
        <v>0.274390244</v>
      </c>
      <c r="N241" s="56">
        <f t="shared" si="5"/>
        <v>0.01611050542</v>
      </c>
      <c r="O241" s="57">
        <v>0.591</v>
      </c>
      <c r="P241" s="24">
        <v>19711.0</v>
      </c>
      <c r="Q241" s="24">
        <v>4051.0</v>
      </c>
      <c r="R241" s="24">
        <v>15806.0</v>
      </c>
      <c r="S241" s="24">
        <v>315.0</v>
      </c>
      <c r="T241" s="24">
        <v>3265.0</v>
      </c>
      <c r="U241" s="24">
        <v>13.1057</v>
      </c>
      <c r="V241" s="24">
        <v>2.6935</v>
      </c>
      <c r="W241" s="24">
        <v>10.5093</v>
      </c>
      <c r="X241" s="24">
        <v>0.2094</v>
      </c>
      <c r="Y241" s="24">
        <v>2.1709</v>
      </c>
      <c r="Z241" s="24">
        <v>97.5</v>
      </c>
      <c r="AA241" s="24">
        <v>22.3</v>
      </c>
      <c r="AB241" s="24">
        <v>5.2</v>
      </c>
      <c r="AC241" s="24">
        <v>42.9</v>
      </c>
      <c r="AD241" s="24">
        <v>7.9</v>
      </c>
      <c r="AE241" s="24">
        <v>1.2185</v>
      </c>
      <c r="AF241" s="24">
        <v>1.713287</v>
      </c>
      <c r="AG241" s="24">
        <v>1.21519</v>
      </c>
      <c r="AH241" s="24">
        <v>1.076923</v>
      </c>
      <c r="AI241" s="24">
        <v>1.206278</v>
      </c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</row>
    <row r="242">
      <c r="A242" s="51" t="s">
        <v>61</v>
      </c>
      <c r="B242" s="51" t="s">
        <v>104</v>
      </c>
      <c r="C242" s="24">
        <v>2001.0</v>
      </c>
      <c r="D242" s="24">
        <v>0.05452</v>
      </c>
      <c r="E242" s="52">
        <v>11.5</v>
      </c>
      <c r="F242" s="53">
        <f t="shared" si="1"/>
        <v>0.785731336</v>
      </c>
      <c r="G242" s="52">
        <v>8.7</v>
      </c>
      <c r="H242" s="54">
        <f t="shared" si="2"/>
        <v>0.5852897282</v>
      </c>
      <c r="I242" s="52">
        <v>2.8</v>
      </c>
      <c r="J242" s="54">
        <f t="shared" si="3"/>
        <v>0.2640051183</v>
      </c>
      <c r="K242" s="55">
        <v>2.414634146</v>
      </c>
      <c r="L242" s="54">
        <f t="shared" si="4"/>
        <v>0.1620256356</v>
      </c>
      <c r="M242" s="55">
        <v>0.384146341</v>
      </c>
      <c r="N242" s="56">
        <f t="shared" si="5"/>
        <v>0.02212915336</v>
      </c>
      <c r="O242" s="57">
        <v>0.61</v>
      </c>
      <c r="P242" s="24">
        <v>19711.0</v>
      </c>
      <c r="Q242" s="24">
        <v>4051.0</v>
      </c>
      <c r="R242" s="24">
        <v>15806.0</v>
      </c>
      <c r="S242" s="24">
        <v>315.0</v>
      </c>
      <c r="T242" s="24">
        <v>3265.0</v>
      </c>
      <c r="U242" s="24">
        <v>13.1057</v>
      </c>
      <c r="V242" s="24">
        <v>2.6935</v>
      </c>
      <c r="W242" s="24">
        <v>10.5093</v>
      </c>
      <c r="X242" s="24">
        <v>0.2094</v>
      </c>
      <c r="Y242" s="24">
        <v>2.1709</v>
      </c>
      <c r="Z242" s="24">
        <v>94.8</v>
      </c>
      <c r="AA242" s="24">
        <v>21.8</v>
      </c>
      <c r="AB242" s="24">
        <v>5.3</v>
      </c>
      <c r="AC242" s="24">
        <v>42.5</v>
      </c>
      <c r="AD242" s="24">
        <v>7.8</v>
      </c>
      <c r="AE242" s="24">
        <v>1.2532</v>
      </c>
      <c r="AF242" s="24">
        <v>1.729412</v>
      </c>
      <c r="AG242" s="24">
        <v>1.230769</v>
      </c>
      <c r="AH242" s="24">
        <v>1.056604</v>
      </c>
      <c r="AI242" s="24">
        <v>1.233945</v>
      </c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</row>
    <row r="243">
      <c r="A243" s="51" t="s">
        <v>61</v>
      </c>
      <c r="B243" s="51" t="s">
        <v>104</v>
      </c>
      <c r="C243" s="24">
        <v>2002.0</v>
      </c>
      <c r="D243" s="24">
        <v>0.05452</v>
      </c>
      <c r="E243" s="52">
        <v>13.4</v>
      </c>
      <c r="F243" s="53">
        <f t="shared" si="1"/>
        <v>0.908826592</v>
      </c>
      <c r="G243" s="52">
        <v>8.2</v>
      </c>
      <c r="H243" s="54">
        <f t="shared" si="2"/>
        <v>0.5491336289</v>
      </c>
      <c r="I243" s="52">
        <v>3.2</v>
      </c>
      <c r="J243" s="54">
        <f t="shared" si="3"/>
        <v>0.3024317738</v>
      </c>
      <c r="K243" s="55">
        <v>2.780487805</v>
      </c>
      <c r="L243" s="54">
        <f t="shared" si="4"/>
        <v>0.1865749744</v>
      </c>
      <c r="M243" s="55">
        <v>0.43902439</v>
      </c>
      <c r="N243" s="56">
        <f t="shared" si="5"/>
        <v>0.02577680865</v>
      </c>
      <c r="O243" s="57">
        <v>0.601</v>
      </c>
      <c r="P243" s="24">
        <v>19711.0</v>
      </c>
      <c r="Q243" s="24">
        <v>4051.0</v>
      </c>
      <c r="R243" s="24">
        <v>15806.0</v>
      </c>
      <c r="S243" s="24">
        <v>315.0</v>
      </c>
      <c r="T243" s="24">
        <v>3265.0</v>
      </c>
      <c r="U243" s="24">
        <v>13.1057</v>
      </c>
      <c r="V243" s="24">
        <v>2.6935</v>
      </c>
      <c r="W243" s="24">
        <v>10.5093</v>
      </c>
      <c r="X243" s="24">
        <v>0.2094</v>
      </c>
      <c r="Y243" s="24">
        <v>2.1709</v>
      </c>
      <c r="Z243" s="24">
        <v>95.5</v>
      </c>
      <c r="AA243" s="24">
        <v>21.9</v>
      </c>
      <c r="AB243" s="24">
        <v>5.2</v>
      </c>
      <c r="AC243" s="24">
        <v>42.4</v>
      </c>
      <c r="AD243" s="24">
        <v>7.8</v>
      </c>
      <c r="AE243" s="24">
        <v>1.244</v>
      </c>
      <c r="AF243" s="24">
        <v>1.733491</v>
      </c>
      <c r="AG243" s="24">
        <v>1.230769</v>
      </c>
      <c r="AH243" s="24">
        <v>1.076923</v>
      </c>
      <c r="AI243" s="24">
        <v>1.228311</v>
      </c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</row>
    <row r="244">
      <c r="A244" s="51" t="s">
        <v>61</v>
      </c>
      <c r="B244" s="51" t="s">
        <v>104</v>
      </c>
      <c r="C244" s="24">
        <v>2003.0</v>
      </c>
      <c r="D244" s="24">
        <v>0.05452</v>
      </c>
      <c r="E244" s="52">
        <v>10.8</v>
      </c>
      <c r="F244" s="53">
        <f t="shared" si="1"/>
        <v>0.7355489472</v>
      </c>
      <c r="G244" s="52">
        <v>7.7</v>
      </c>
      <c r="H244" s="54">
        <f t="shared" si="2"/>
        <v>0.5252432321</v>
      </c>
      <c r="I244" s="52">
        <v>2.5</v>
      </c>
      <c r="J244" s="54">
        <f t="shared" si="3"/>
        <v>0.2368333807</v>
      </c>
      <c r="K244" s="55">
        <v>2.506097561</v>
      </c>
      <c r="L244" s="54">
        <f t="shared" si="4"/>
        <v>0.1660343736</v>
      </c>
      <c r="M244" s="55">
        <v>0.292682927</v>
      </c>
      <c r="N244" s="56">
        <f t="shared" si="5"/>
        <v>0.01787192196</v>
      </c>
      <c r="O244" s="57">
        <v>0.577</v>
      </c>
      <c r="P244" s="24">
        <v>19711.0</v>
      </c>
      <c r="Q244" s="24">
        <v>4051.0</v>
      </c>
      <c r="R244" s="24">
        <v>15806.0</v>
      </c>
      <c r="S244" s="24">
        <v>315.0</v>
      </c>
      <c r="T244" s="24">
        <v>3265.0</v>
      </c>
      <c r="U244" s="24">
        <v>13.1057</v>
      </c>
      <c r="V244" s="24">
        <v>2.6935</v>
      </c>
      <c r="W244" s="24">
        <v>10.5093</v>
      </c>
      <c r="X244" s="24">
        <v>0.2094</v>
      </c>
      <c r="Y244" s="24">
        <v>2.1709</v>
      </c>
      <c r="Z244" s="24">
        <v>95.1</v>
      </c>
      <c r="AA244" s="24">
        <v>21.5</v>
      </c>
      <c r="AB244" s="24">
        <v>5.0</v>
      </c>
      <c r="AC244" s="24">
        <v>42.3</v>
      </c>
      <c r="AD244" s="24">
        <v>7.9</v>
      </c>
      <c r="AE244" s="24">
        <v>1.2492</v>
      </c>
      <c r="AF244" s="24">
        <v>1.737589</v>
      </c>
      <c r="AG244" s="24">
        <v>1.21519</v>
      </c>
      <c r="AH244" s="24">
        <v>1.12</v>
      </c>
      <c r="AI244" s="24">
        <v>1.251163</v>
      </c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</row>
    <row r="245">
      <c r="A245" s="51" t="s">
        <v>45</v>
      </c>
      <c r="B245" s="51" t="s">
        <v>111</v>
      </c>
      <c r="C245" s="24">
        <v>1972.0</v>
      </c>
      <c r="D245" s="24">
        <v>0.06758</v>
      </c>
      <c r="E245" s="52">
        <v>27.3</v>
      </c>
      <c r="F245" s="53">
        <f t="shared" si="1"/>
        <v>1.988838852</v>
      </c>
      <c r="G245" s="52">
        <v>4.0</v>
      </c>
      <c r="H245" s="54">
        <f t="shared" si="2"/>
        <v>0.3017265886</v>
      </c>
      <c r="I245" s="52">
        <v>15.7</v>
      </c>
      <c r="J245" s="54">
        <f t="shared" si="3"/>
        <v>1.526104346</v>
      </c>
      <c r="K245" s="55">
        <v>0.0</v>
      </c>
      <c r="L245" s="54" t="str">
        <f t="shared" si="4"/>
        <v>No Stat</v>
      </c>
      <c r="M245" s="55">
        <v>0.0</v>
      </c>
      <c r="N245" s="56" t="str">
        <f t="shared" si="5"/>
        <v>No Stat</v>
      </c>
      <c r="O245" s="57">
        <v>0.545</v>
      </c>
      <c r="P245" s="24">
        <v>30026.0</v>
      </c>
      <c r="Q245" s="24">
        <v>10525.0</v>
      </c>
      <c r="R245" s="24">
        <v>5176.0</v>
      </c>
      <c r="S245" s="24">
        <v>1941.0</v>
      </c>
      <c r="T245" s="24">
        <v>2272.0</v>
      </c>
      <c r="U245" s="24">
        <v>24.1561</v>
      </c>
      <c r="V245" s="24">
        <v>8.4674</v>
      </c>
      <c r="W245" s="24">
        <v>4.1641</v>
      </c>
      <c r="X245" s="24">
        <v>1.5615</v>
      </c>
      <c r="Y245" s="24">
        <v>1.8278</v>
      </c>
      <c r="Z245" s="24">
        <v>110.2</v>
      </c>
      <c r="AA245" s="24">
        <v>24.1</v>
      </c>
      <c r="AB245" s="25"/>
      <c r="AC245" s="24">
        <v>51.1</v>
      </c>
      <c r="AD245" s="25"/>
      <c r="AE245" s="24">
        <v>1.078</v>
      </c>
      <c r="AF245" s="24">
        <v>1.438356</v>
      </c>
      <c r="AG245" s="51" t="s">
        <v>108</v>
      </c>
      <c r="AH245" s="51" t="s">
        <v>108</v>
      </c>
      <c r="AI245" s="24">
        <v>1.116183</v>
      </c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</row>
    <row r="246">
      <c r="A246" s="51" t="s">
        <v>45</v>
      </c>
      <c r="B246" s="51" t="s">
        <v>111</v>
      </c>
      <c r="C246" s="24">
        <v>1973.0</v>
      </c>
      <c r="D246" s="24">
        <v>0.05712</v>
      </c>
      <c r="E246" s="52">
        <v>31.9</v>
      </c>
      <c r="F246" s="53">
        <f t="shared" si="1"/>
        <v>2.011811525</v>
      </c>
      <c r="G246" s="52">
        <v>4.2</v>
      </c>
      <c r="H246" s="54">
        <f t="shared" si="2"/>
        <v>0.2560879238</v>
      </c>
      <c r="I246" s="52">
        <v>12.2</v>
      </c>
      <c r="J246" s="54">
        <f t="shared" si="3"/>
        <v>1.012243044</v>
      </c>
      <c r="K246" s="55">
        <v>3.823943662</v>
      </c>
      <c r="L246" s="54" t="str">
        <f t="shared" si="4"/>
        <v>No Stat</v>
      </c>
      <c r="M246" s="55">
        <v>2.683098592</v>
      </c>
      <c r="N246" s="56" t="str">
        <f t="shared" si="5"/>
        <v>No Stat</v>
      </c>
      <c r="O246" s="57">
        <v>0.547</v>
      </c>
      <c r="P246" s="24">
        <v>30026.0</v>
      </c>
      <c r="Q246" s="24">
        <v>10525.0</v>
      </c>
      <c r="R246" s="24">
        <v>5176.0</v>
      </c>
      <c r="S246" s="24">
        <v>1941.0</v>
      </c>
      <c r="T246" s="24">
        <v>2272.0</v>
      </c>
      <c r="U246" s="24">
        <v>24.1561</v>
      </c>
      <c r="V246" s="24">
        <v>8.4674</v>
      </c>
      <c r="W246" s="24">
        <v>4.1641</v>
      </c>
      <c r="X246" s="24">
        <v>1.5615</v>
      </c>
      <c r="Y246" s="24">
        <v>1.8278</v>
      </c>
      <c r="Z246" s="24">
        <v>107.6</v>
      </c>
      <c r="AA246" s="24">
        <v>25.2</v>
      </c>
      <c r="AB246" s="25"/>
      <c r="AC246" s="24">
        <v>50.6</v>
      </c>
      <c r="AD246" s="25"/>
      <c r="AE246" s="24">
        <v>1.1041</v>
      </c>
      <c r="AF246" s="24">
        <v>1.452569</v>
      </c>
      <c r="AG246" s="51" t="s">
        <v>108</v>
      </c>
      <c r="AH246" s="51" t="s">
        <v>108</v>
      </c>
      <c r="AI246" s="24">
        <v>1.06746</v>
      </c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</row>
    <row r="247">
      <c r="A247" s="51" t="s">
        <v>45</v>
      </c>
      <c r="B247" s="51" t="s">
        <v>111</v>
      </c>
      <c r="C247" s="24">
        <v>1974.0</v>
      </c>
      <c r="D247" s="24">
        <v>0.06758</v>
      </c>
      <c r="E247" s="52">
        <v>27.4</v>
      </c>
      <c r="F247" s="53">
        <f t="shared" si="1"/>
        <v>2.081116639</v>
      </c>
      <c r="G247" s="52">
        <v>5.2</v>
      </c>
      <c r="H247" s="54">
        <f t="shared" si="2"/>
        <v>0.3842719903</v>
      </c>
      <c r="I247" s="52">
        <v>10.7</v>
      </c>
      <c r="J247" s="54">
        <f t="shared" si="3"/>
        <v>1.102661447</v>
      </c>
      <c r="K247" s="55">
        <v>3.392857143</v>
      </c>
      <c r="L247" s="54">
        <f t="shared" si="4"/>
        <v>0.2530088038</v>
      </c>
      <c r="M247" s="55">
        <v>3.642857143</v>
      </c>
      <c r="N247" s="56">
        <f t="shared" si="5"/>
        <v>0.2933258684</v>
      </c>
      <c r="O247" s="57">
        <v>0.562</v>
      </c>
      <c r="P247" s="24">
        <v>30026.0</v>
      </c>
      <c r="Q247" s="24">
        <v>10525.0</v>
      </c>
      <c r="R247" s="24">
        <v>5176.0</v>
      </c>
      <c r="S247" s="24">
        <v>1941.0</v>
      </c>
      <c r="T247" s="24">
        <v>2272.0</v>
      </c>
      <c r="U247" s="24">
        <v>24.1561</v>
      </c>
      <c r="V247" s="24">
        <v>8.4674</v>
      </c>
      <c r="W247" s="24">
        <v>4.1641</v>
      </c>
      <c r="X247" s="24">
        <v>1.5615</v>
      </c>
      <c r="Y247" s="24">
        <v>1.8278</v>
      </c>
      <c r="Z247" s="24">
        <v>105.7</v>
      </c>
      <c r="AA247" s="24">
        <v>24.6</v>
      </c>
      <c r="AB247" s="24">
        <v>4.7</v>
      </c>
      <c r="AC247" s="24">
        <v>48.2</v>
      </c>
      <c r="AD247" s="24">
        <v>8.7</v>
      </c>
      <c r="AE247" s="24">
        <v>1.1239</v>
      </c>
      <c r="AF247" s="24">
        <v>1.524896</v>
      </c>
      <c r="AG247" s="24">
        <v>1.103448</v>
      </c>
      <c r="AH247" s="24">
        <v>1.191489</v>
      </c>
      <c r="AI247" s="24">
        <v>1.093496</v>
      </c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</row>
    <row r="248">
      <c r="A248" s="51" t="s">
        <v>45</v>
      </c>
      <c r="B248" s="51" t="s">
        <v>111</v>
      </c>
      <c r="C248" s="24">
        <v>1975.0</v>
      </c>
      <c r="D248" s="24">
        <v>0.06758</v>
      </c>
      <c r="E248" s="52">
        <v>27.9</v>
      </c>
      <c r="F248" s="53">
        <f t="shared" si="1"/>
        <v>2.183199608</v>
      </c>
      <c r="G248" s="52">
        <v>5.5</v>
      </c>
      <c r="H248" s="54">
        <f t="shared" si="2"/>
        <v>0.4201033659</v>
      </c>
      <c r="I248" s="52">
        <v>10.9</v>
      </c>
      <c r="J248" s="54">
        <f t="shared" si="3"/>
        <v>1.149505997</v>
      </c>
      <c r="K248" s="55">
        <v>3.321428571</v>
      </c>
      <c r="L248" s="54">
        <f t="shared" si="4"/>
        <v>0.2448677718</v>
      </c>
      <c r="M248" s="55">
        <v>2.803571429</v>
      </c>
      <c r="N248" s="56">
        <f t="shared" si="5"/>
        <v>0.2467456607</v>
      </c>
      <c r="O248" s="57">
        <v>0.565</v>
      </c>
      <c r="P248" s="24">
        <v>30026.0</v>
      </c>
      <c r="Q248" s="24">
        <v>10525.0</v>
      </c>
      <c r="R248" s="24">
        <v>5176.0</v>
      </c>
      <c r="S248" s="24">
        <v>1941.0</v>
      </c>
      <c r="T248" s="24">
        <v>2272.0</v>
      </c>
      <c r="U248" s="24">
        <v>24.1561</v>
      </c>
      <c r="V248" s="24">
        <v>8.4674</v>
      </c>
      <c r="W248" s="24">
        <v>4.1641</v>
      </c>
      <c r="X248" s="24">
        <v>1.5615</v>
      </c>
      <c r="Y248" s="24">
        <v>1.8278</v>
      </c>
      <c r="Z248" s="24">
        <v>102.6</v>
      </c>
      <c r="AA248" s="24">
        <v>23.8</v>
      </c>
      <c r="AB248" s="24">
        <v>4.3</v>
      </c>
      <c r="AC248" s="24">
        <v>47.1</v>
      </c>
      <c r="AD248" s="24">
        <v>8.8</v>
      </c>
      <c r="AE248" s="24">
        <v>1.1579</v>
      </c>
      <c r="AF248" s="24">
        <v>1.56051</v>
      </c>
      <c r="AG248" s="24">
        <v>1.090909</v>
      </c>
      <c r="AH248" s="24">
        <v>1.302326</v>
      </c>
      <c r="AI248" s="24">
        <v>1.130252</v>
      </c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</row>
    <row r="249">
      <c r="A249" s="51" t="s">
        <v>45</v>
      </c>
      <c r="B249" s="51" t="s">
        <v>111</v>
      </c>
      <c r="C249" s="24">
        <v>1976.0</v>
      </c>
      <c r="D249" s="24">
        <v>0.06758</v>
      </c>
      <c r="E249" s="52">
        <v>29.3</v>
      </c>
      <c r="F249" s="53">
        <f t="shared" si="1"/>
        <v>2.255327066</v>
      </c>
      <c r="G249" s="52">
        <v>5.0</v>
      </c>
      <c r="H249" s="54">
        <f t="shared" si="2"/>
        <v>0.3951960135</v>
      </c>
      <c r="I249" s="52">
        <v>11.0</v>
      </c>
      <c r="J249" s="54">
        <f t="shared" si="3"/>
        <v>1.15270956</v>
      </c>
      <c r="K249" s="55">
        <v>3.696428571</v>
      </c>
      <c r="L249" s="54">
        <f t="shared" si="4"/>
        <v>0.2694522776</v>
      </c>
      <c r="M249" s="55">
        <v>2.857142857</v>
      </c>
      <c r="N249" s="56">
        <f t="shared" si="5"/>
        <v>0.2457454019</v>
      </c>
      <c r="O249" s="57">
        <v>0.569</v>
      </c>
      <c r="P249" s="24">
        <v>30026.0</v>
      </c>
      <c r="Q249" s="24">
        <v>10525.0</v>
      </c>
      <c r="R249" s="24">
        <v>5176.0</v>
      </c>
      <c r="S249" s="24">
        <v>1941.0</v>
      </c>
      <c r="T249" s="24">
        <v>2272.0</v>
      </c>
      <c r="U249" s="24">
        <v>24.1561</v>
      </c>
      <c r="V249" s="24">
        <v>8.4674</v>
      </c>
      <c r="W249" s="24">
        <v>4.1641</v>
      </c>
      <c r="X249" s="24">
        <v>1.5615</v>
      </c>
      <c r="Y249" s="24">
        <v>1.8278</v>
      </c>
      <c r="Z249" s="24">
        <v>104.3</v>
      </c>
      <c r="AA249" s="24">
        <v>23.0</v>
      </c>
      <c r="AB249" s="24">
        <v>4.4</v>
      </c>
      <c r="AC249" s="24">
        <v>47.4</v>
      </c>
      <c r="AD249" s="24">
        <v>8.9</v>
      </c>
      <c r="AE249" s="24">
        <v>1.139</v>
      </c>
      <c r="AF249" s="24">
        <v>1.550633</v>
      </c>
      <c r="AG249" s="24">
        <v>1.078652</v>
      </c>
      <c r="AH249" s="24">
        <v>1.272727</v>
      </c>
      <c r="AI249" s="24">
        <v>1.169565</v>
      </c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</row>
    <row r="250">
      <c r="A250" s="51" t="s">
        <v>45</v>
      </c>
      <c r="B250" s="51" t="s">
        <v>111</v>
      </c>
      <c r="C250" s="24">
        <v>1977.0</v>
      </c>
      <c r="D250" s="24">
        <v>0.06597</v>
      </c>
      <c r="E250" s="52">
        <v>21.6</v>
      </c>
      <c r="F250" s="53">
        <f t="shared" si="1"/>
        <v>1.589533956</v>
      </c>
      <c r="G250" s="52">
        <v>3.7</v>
      </c>
      <c r="H250" s="54">
        <f t="shared" si="2"/>
        <v>0.2747277835</v>
      </c>
      <c r="I250" s="52">
        <v>8.5</v>
      </c>
      <c r="J250" s="54">
        <f t="shared" si="3"/>
        <v>0.87504818</v>
      </c>
      <c r="K250" s="55">
        <v>2.908536585</v>
      </c>
      <c r="L250" s="54">
        <f t="shared" si="4"/>
        <v>0.1959587075</v>
      </c>
      <c r="M250" s="55">
        <v>2.067073171</v>
      </c>
      <c r="N250" s="56">
        <f t="shared" si="5"/>
        <v>0.1497338874</v>
      </c>
      <c r="O250" s="57">
        <v>0.553</v>
      </c>
      <c r="P250" s="24">
        <v>30026.0</v>
      </c>
      <c r="Q250" s="24">
        <v>10525.0</v>
      </c>
      <c r="R250" s="24">
        <v>5176.0</v>
      </c>
      <c r="S250" s="24">
        <v>1941.0</v>
      </c>
      <c r="T250" s="24">
        <v>2272.0</v>
      </c>
      <c r="U250" s="24">
        <v>24.1561</v>
      </c>
      <c r="V250" s="24">
        <v>8.4674</v>
      </c>
      <c r="W250" s="24">
        <v>4.1641</v>
      </c>
      <c r="X250" s="24">
        <v>1.5615</v>
      </c>
      <c r="Y250" s="24">
        <v>1.8278</v>
      </c>
      <c r="Z250" s="24">
        <v>106.5</v>
      </c>
      <c r="AA250" s="24">
        <v>23.9</v>
      </c>
      <c r="AB250" s="24">
        <v>5.1</v>
      </c>
      <c r="AC250" s="24">
        <v>47.1</v>
      </c>
      <c r="AD250" s="24">
        <v>9.4</v>
      </c>
      <c r="AE250" s="24">
        <v>1.1155</v>
      </c>
      <c r="AF250" s="24">
        <v>1.56051</v>
      </c>
      <c r="AG250" s="24">
        <v>1.021277</v>
      </c>
      <c r="AH250" s="24">
        <v>1.098039</v>
      </c>
      <c r="AI250" s="24">
        <v>1.125523</v>
      </c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</row>
    <row r="251">
      <c r="A251" s="51" t="s">
        <v>45</v>
      </c>
      <c r="B251" s="51" t="s">
        <v>111</v>
      </c>
      <c r="C251" s="24">
        <v>1978.0</v>
      </c>
      <c r="D251" s="24">
        <v>0.05953</v>
      </c>
      <c r="E251" s="52">
        <v>20.6</v>
      </c>
      <c r="F251" s="53">
        <f t="shared" si="1"/>
        <v>1.342695578</v>
      </c>
      <c r="G251" s="52">
        <v>3.8</v>
      </c>
      <c r="H251" s="54">
        <f t="shared" si="2"/>
        <v>0.243406264</v>
      </c>
      <c r="I251" s="52">
        <v>6.5</v>
      </c>
      <c r="J251" s="54">
        <f t="shared" si="3"/>
        <v>0.603831542</v>
      </c>
      <c r="K251" s="55">
        <v>2.736486486</v>
      </c>
      <c r="L251" s="54">
        <f t="shared" si="4"/>
        <v>0.1629030405</v>
      </c>
      <c r="M251" s="55">
        <v>1.966216216</v>
      </c>
      <c r="N251" s="56">
        <f t="shared" si="5"/>
        <v>0.1285242037</v>
      </c>
      <c r="O251" s="57">
        <v>0.555</v>
      </c>
      <c r="P251" s="24">
        <v>30026.0</v>
      </c>
      <c r="Q251" s="24">
        <v>10525.0</v>
      </c>
      <c r="R251" s="24">
        <v>5176.0</v>
      </c>
      <c r="S251" s="24">
        <v>1941.0</v>
      </c>
      <c r="T251" s="24">
        <v>2272.0</v>
      </c>
      <c r="U251" s="24">
        <v>24.1561</v>
      </c>
      <c r="V251" s="24">
        <v>8.4674</v>
      </c>
      <c r="W251" s="24">
        <v>4.1641</v>
      </c>
      <c r="X251" s="24">
        <v>1.5615</v>
      </c>
      <c r="Y251" s="24">
        <v>1.8278</v>
      </c>
      <c r="Z251" s="24">
        <v>108.5</v>
      </c>
      <c r="AA251" s="24">
        <v>25.0</v>
      </c>
      <c r="AB251" s="24">
        <v>5.1</v>
      </c>
      <c r="AC251" s="24">
        <v>47.1</v>
      </c>
      <c r="AD251" s="24">
        <v>9.6</v>
      </c>
      <c r="AE251" s="24">
        <v>1.0949</v>
      </c>
      <c r="AF251" s="24">
        <v>1.56051</v>
      </c>
      <c r="AG251" s="24">
        <v>1.0</v>
      </c>
      <c r="AH251" s="24">
        <v>1.098039</v>
      </c>
      <c r="AI251" s="24">
        <v>1.076</v>
      </c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</row>
    <row r="252">
      <c r="A252" s="51" t="s">
        <v>45</v>
      </c>
      <c r="B252" s="51" t="s">
        <v>111</v>
      </c>
      <c r="C252" s="24">
        <v>1979.0</v>
      </c>
      <c r="D252" s="24">
        <v>0.06275</v>
      </c>
      <c r="E252" s="52">
        <v>23.1</v>
      </c>
      <c r="F252" s="53">
        <f t="shared" si="1"/>
        <v>1.561283378</v>
      </c>
      <c r="G252" s="52">
        <v>4.6</v>
      </c>
      <c r="H252" s="54">
        <f t="shared" si="2"/>
        <v>0.3009568814</v>
      </c>
      <c r="I252" s="52">
        <v>7.2</v>
      </c>
      <c r="J252" s="54">
        <f t="shared" si="3"/>
        <v>0.7346746908</v>
      </c>
      <c r="K252" s="55">
        <v>2.557692308</v>
      </c>
      <c r="L252" s="54">
        <f t="shared" si="4"/>
        <v>0.1693136007</v>
      </c>
      <c r="M252" s="55">
        <v>1.923076923</v>
      </c>
      <c r="N252" s="56">
        <f t="shared" si="5"/>
        <v>0.1251424457</v>
      </c>
      <c r="O252" s="57">
        <v>0.538</v>
      </c>
      <c r="P252" s="24">
        <v>30026.0</v>
      </c>
      <c r="Q252" s="24">
        <v>10525.0</v>
      </c>
      <c r="R252" s="24">
        <v>5176.0</v>
      </c>
      <c r="S252" s="24">
        <v>1941.0</v>
      </c>
      <c r="T252" s="24">
        <v>2272.0</v>
      </c>
      <c r="U252" s="24">
        <v>24.1561</v>
      </c>
      <c r="V252" s="24">
        <v>8.4674</v>
      </c>
      <c r="W252" s="24">
        <v>4.1641</v>
      </c>
      <c r="X252" s="24">
        <v>1.5615</v>
      </c>
      <c r="Y252" s="24">
        <v>1.8278</v>
      </c>
      <c r="Z252" s="24">
        <v>110.3</v>
      </c>
      <c r="AA252" s="24">
        <v>25.8</v>
      </c>
      <c r="AB252" s="24">
        <v>5.4</v>
      </c>
      <c r="AC252" s="24">
        <v>45.2</v>
      </c>
      <c r="AD252" s="24">
        <v>9.1</v>
      </c>
      <c r="AE252" s="24">
        <v>1.0771</v>
      </c>
      <c r="AF252" s="24">
        <v>1.626106</v>
      </c>
      <c r="AG252" s="24">
        <v>1.054945</v>
      </c>
      <c r="AH252" s="24">
        <v>1.037037</v>
      </c>
      <c r="AI252" s="24">
        <v>1.042636</v>
      </c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8"/>
    </row>
    <row r="253">
      <c r="A253" s="51" t="s">
        <v>45</v>
      </c>
      <c r="B253" s="51" t="s">
        <v>111</v>
      </c>
      <c r="C253" s="24">
        <v>1980.0</v>
      </c>
      <c r="D253" s="24">
        <v>0.06275</v>
      </c>
      <c r="E253" s="52">
        <v>26.9</v>
      </c>
      <c r="F253" s="53">
        <f t="shared" si="1"/>
        <v>1.834660028</v>
      </c>
      <c r="G253" s="52">
        <v>4.6</v>
      </c>
      <c r="H253" s="54">
        <f t="shared" si="2"/>
        <v>0.3009568814</v>
      </c>
      <c r="I253" s="52">
        <v>7.4</v>
      </c>
      <c r="J253" s="54">
        <f t="shared" si="3"/>
        <v>0.7601274839</v>
      </c>
      <c r="K253" s="55">
        <v>3.269230769</v>
      </c>
      <c r="L253" s="54">
        <f t="shared" si="4"/>
        <v>0.2095090846</v>
      </c>
      <c r="M253" s="55">
        <v>2.692307692</v>
      </c>
      <c r="N253" s="56">
        <f t="shared" si="5"/>
        <v>0.1785051181</v>
      </c>
      <c r="O253" s="57">
        <v>0.568</v>
      </c>
      <c r="P253" s="24">
        <v>30026.0</v>
      </c>
      <c r="Q253" s="24">
        <v>10525.0</v>
      </c>
      <c r="R253" s="24">
        <v>5176.0</v>
      </c>
      <c r="S253" s="24">
        <v>1941.0</v>
      </c>
      <c r="T253" s="24">
        <v>2272.0</v>
      </c>
      <c r="U253" s="24">
        <v>24.1561</v>
      </c>
      <c r="V253" s="24">
        <v>8.4674</v>
      </c>
      <c r="W253" s="24">
        <v>4.1641</v>
      </c>
      <c r="X253" s="24">
        <v>1.5615</v>
      </c>
      <c r="Y253" s="24">
        <v>1.8278</v>
      </c>
      <c r="Z253" s="24">
        <v>109.3</v>
      </c>
      <c r="AA253" s="24">
        <v>25.8</v>
      </c>
      <c r="AB253" s="24">
        <v>5.3</v>
      </c>
      <c r="AC253" s="24">
        <v>44.9</v>
      </c>
      <c r="AD253" s="24">
        <v>9.4</v>
      </c>
      <c r="AE253" s="24">
        <v>1.0869</v>
      </c>
      <c r="AF253" s="24">
        <v>1.636971</v>
      </c>
      <c r="AG253" s="24">
        <v>1.021277</v>
      </c>
      <c r="AH253" s="24">
        <v>1.056604</v>
      </c>
      <c r="AI253" s="24">
        <v>1.042636</v>
      </c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</row>
    <row r="254">
      <c r="A254" s="51" t="s">
        <v>45</v>
      </c>
      <c r="B254" s="51" t="s">
        <v>111</v>
      </c>
      <c r="C254" s="24">
        <v>1981.0</v>
      </c>
      <c r="D254" s="24">
        <v>0.06597</v>
      </c>
      <c r="E254" s="52">
        <v>24.6</v>
      </c>
      <c r="F254" s="53">
        <f t="shared" si="1"/>
        <v>1.783525338</v>
      </c>
      <c r="G254" s="52">
        <v>4.4</v>
      </c>
      <c r="H254" s="54">
        <f t="shared" si="2"/>
        <v>0.3062042937</v>
      </c>
      <c r="I254" s="52">
        <v>8.0</v>
      </c>
      <c r="J254" s="54">
        <f t="shared" si="3"/>
        <v>0.8917323228</v>
      </c>
      <c r="K254" s="55">
        <v>3.164634146</v>
      </c>
      <c r="L254" s="54">
        <f t="shared" si="4"/>
        <v>0.2226890452</v>
      </c>
      <c r="M254" s="55">
        <v>2.68902439</v>
      </c>
      <c r="N254" s="56">
        <f t="shared" si="5"/>
        <v>0.1874362021</v>
      </c>
      <c r="O254" s="57">
        <v>0.572</v>
      </c>
      <c r="P254" s="24">
        <v>30026.0</v>
      </c>
      <c r="Q254" s="24">
        <v>10525.0</v>
      </c>
      <c r="R254" s="24">
        <v>5176.0</v>
      </c>
      <c r="S254" s="24">
        <v>1941.0</v>
      </c>
      <c r="T254" s="24">
        <v>2272.0</v>
      </c>
      <c r="U254" s="24">
        <v>24.1561</v>
      </c>
      <c r="V254" s="24">
        <v>8.4674</v>
      </c>
      <c r="W254" s="24">
        <v>4.1641</v>
      </c>
      <c r="X254" s="24">
        <v>1.5615</v>
      </c>
      <c r="Y254" s="24">
        <v>1.8278</v>
      </c>
      <c r="Z254" s="24">
        <v>108.1</v>
      </c>
      <c r="AA254" s="24">
        <v>25.5</v>
      </c>
      <c r="AB254" s="24">
        <v>5.3</v>
      </c>
      <c r="AC254" s="24">
        <v>43.5</v>
      </c>
      <c r="AD254" s="24">
        <v>9.0</v>
      </c>
      <c r="AE254" s="24">
        <v>1.099</v>
      </c>
      <c r="AF254" s="24">
        <v>1.689655</v>
      </c>
      <c r="AG254" s="24">
        <v>1.066667</v>
      </c>
      <c r="AH254" s="24">
        <v>1.056604</v>
      </c>
      <c r="AI254" s="24">
        <v>1.054902</v>
      </c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</row>
    <row r="255">
      <c r="A255" s="51" t="s">
        <v>45</v>
      </c>
      <c r="B255" s="51" t="s">
        <v>111</v>
      </c>
      <c r="C255" s="24">
        <v>1982.0</v>
      </c>
      <c r="D255" s="24">
        <v>0.06516</v>
      </c>
      <c r="E255" s="52">
        <v>24.4</v>
      </c>
      <c r="F255" s="53">
        <f t="shared" si="1"/>
        <v>1.739195986</v>
      </c>
      <c r="G255" s="52">
        <v>3.9</v>
      </c>
      <c r="H255" s="54">
        <f t="shared" si="2"/>
        <v>0.271267205</v>
      </c>
      <c r="I255" s="52">
        <v>6.9</v>
      </c>
      <c r="J255" s="54">
        <f t="shared" si="3"/>
        <v>0.7596756466</v>
      </c>
      <c r="K255" s="55">
        <v>2.981481481</v>
      </c>
      <c r="L255" s="54">
        <f t="shared" si="4"/>
        <v>0.2194146339</v>
      </c>
      <c r="M255" s="55">
        <v>2.611111111</v>
      </c>
      <c r="N255" s="56">
        <f t="shared" si="5"/>
        <v>0.1764414752</v>
      </c>
      <c r="O255" s="57">
        <v>0.593</v>
      </c>
      <c r="P255" s="24">
        <v>30026.0</v>
      </c>
      <c r="Q255" s="24">
        <v>10525.0</v>
      </c>
      <c r="R255" s="24">
        <v>5176.0</v>
      </c>
      <c r="S255" s="24">
        <v>1941.0</v>
      </c>
      <c r="T255" s="24">
        <v>2272.0</v>
      </c>
      <c r="U255" s="24">
        <v>24.1561</v>
      </c>
      <c r="V255" s="24">
        <v>8.4674</v>
      </c>
      <c r="W255" s="24">
        <v>4.1641</v>
      </c>
      <c r="X255" s="24">
        <v>1.5615</v>
      </c>
      <c r="Y255" s="24">
        <v>1.8278</v>
      </c>
      <c r="Z255" s="24">
        <v>108.6</v>
      </c>
      <c r="AA255" s="24">
        <v>25.2</v>
      </c>
      <c r="AB255" s="24">
        <v>5.4</v>
      </c>
      <c r="AC255" s="24">
        <v>43.5</v>
      </c>
      <c r="AD255" s="24">
        <v>8.5</v>
      </c>
      <c r="AE255" s="24">
        <v>1.0939</v>
      </c>
      <c r="AF255" s="24">
        <v>1.689655</v>
      </c>
      <c r="AG255" s="24">
        <v>1.129412</v>
      </c>
      <c r="AH255" s="24">
        <v>1.037037</v>
      </c>
      <c r="AI255" s="24">
        <v>1.06746</v>
      </c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</row>
    <row r="256">
      <c r="A256" s="51" t="s">
        <v>45</v>
      </c>
      <c r="B256" s="51" t="s">
        <v>111</v>
      </c>
      <c r="C256" s="24">
        <v>1983.0</v>
      </c>
      <c r="D256" s="24">
        <v>0.05792</v>
      </c>
      <c r="E256" s="52">
        <v>21.4</v>
      </c>
      <c r="F256" s="53">
        <f t="shared" si="1"/>
        <v>1.357115411</v>
      </c>
      <c r="G256" s="52">
        <v>3.7</v>
      </c>
      <c r="H256" s="54">
        <f t="shared" si="2"/>
        <v>0.2225782774</v>
      </c>
      <c r="I256" s="52">
        <v>6.8</v>
      </c>
      <c r="J256" s="54">
        <f t="shared" si="3"/>
        <v>0.6505260474</v>
      </c>
      <c r="K256" s="55">
        <v>2.333333333</v>
      </c>
      <c r="L256" s="54">
        <f t="shared" si="4"/>
        <v>0.1457762223</v>
      </c>
      <c r="M256" s="55">
        <v>2.729166667</v>
      </c>
      <c r="N256" s="56">
        <f t="shared" si="5"/>
        <v>0.1580733334</v>
      </c>
      <c r="O256" s="57">
        <v>0.566</v>
      </c>
      <c r="P256" s="24">
        <v>30026.0</v>
      </c>
      <c r="Q256" s="24">
        <v>10525.0</v>
      </c>
      <c r="R256" s="24">
        <v>5176.0</v>
      </c>
      <c r="S256" s="24">
        <v>1941.0</v>
      </c>
      <c r="T256" s="24">
        <v>2272.0</v>
      </c>
      <c r="U256" s="24">
        <v>24.1561</v>
      </c>
      <c r="V256" s="24">
        <v>8.4674</v>
      </c>
      <c r="W256" s="24">
        <v>4.1641</v>
      </c>
      <c r="X256" s="24">
        <v>1.5615</v>
      </c>
      <c r="Y256" s="24">
        <v>1.8278</v>
      </c>
      <c r="Z256" s="24">
        <v>108.5</v>
      </c>
      <c r="AA256" s="24">
        <v>25.9</v>
      </c>
      <c r="AB256" s="24">
        <v>5.6</v>
      </c>
      <c r="AC256" s="24">
        <v>44.5</v>
      </c>
      <c r="AD256" s="24">
        <v>8.9</v>
      </c>
      <c r="AE256" s="24">
        <v>1.0949</v>
      </c>
      <c r="AF256" s="24">
        <v>1.651685</v>
      </c>
      <c r="AG256" s="24">
        <v>1.078652</v>
      </c>
      <c r="AH256" s="24">
        <v>1.0</v>
      </c>
      <c r="AI256" s="24">
        <v>1.03861</v>
      </c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</row>
    <row r="257">
      <c r="A257" s="51" t="s">
        <v>45</v>
      </c>
      <c r="B257" s="51" t="s">
        <v>111</v>
      </c>
      <c r="C257" s="24">
        <v>1984.0</v>
      </c>
      <c r="D257" s="24">
        <v>0.06195</v>
      </c>
      <c r="E257" s="52">
        <v>22.4</v>
      </c>
      <c r="F257" s="53">
        <f t="shared" si="1"/>
        <v>1.49730672</v>
      </c>
      <c r="G257" s="52">
        <v>4.0</v>
      </c>
      <c r="H257" s="54">
        <f t="shared" si="2"/>
        <v>0.2544207204</v>
      </c>
      <c r="I257" s="52">
        <v>6.9</v>
      </c>
      <c r="J257" s="54">
        <f t="shared" si="3"/>
        <v>0.7306496864</v>
      </c>
      <c r="K257" s="55">
        <v>2.746753247</v>
      </c>
      <c r="L257" s="54">
        <f t="shared" si="4"/>
        <v>0.192182286</v>
      </c>
      <c r="M257" s="55">
        <v>2.707792208</v>
      </c>
      <c r="N257" s="56">
        <f t="shared" si="5"/>
        <v>0.1772429196</v>
      </c>
      <c r="O257" s="57">
        <v>0.562</v>
      </c>
      <c r="P257" s="24">
        <v>30026.0</v>
      </c>
      <c r="Q257" s="24">
        <v>10525.0</v>
      </c>
      <c r="R257" s="24">
        <v>5176.0</v>
      </c>
      <c r="S257" s="24">
        <v>1941.0</v>
      </c>
      <c r="T257" s="24">
        <v>2272.0</v>
      </c>
      <c r="U257" s="24">
        <v>24.1561</v>
      </c>
      <c r="V257" s="24">
        <v>8.4674</v>
      </c>
      <c r="W257" s="24">
        <v>4.1641</v>
      </c>
      <c r="X257" s="24">
        <v>1.5615</v>
      </c>
      <c r="Y257" s="24">
        <v>1.8278</v>
      </c>
      <c r="Z257" s="24">
        <v>110.1</v>
      </c>
      <c r="AA257" s="24">
        <v>26.2</v>
      </c>
      <c r="AB257" s="24">
        <v>5.3</v>
      </c>
      <c r="AC257" s="24">
        <v>43.0</v>
      </c>
      <c r="AD257" s="24">
        <v>8.5</v>
      </c>
      <c r="AE257" s="24">
        <v>1.079</v>
      </c>
      <c r="AF257" s="24">
        <v>1.709302</v>
      </c>
      <c r="AG257" s="24">
        <v>1.129412</v>
      </c>
      <c r="AH257" s="24">
        <v>1.056604</v>
      </c>
      <c r="AI257" s="24">
        <v>1.026718</v>
      </c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</row>
    <row r="258">
      <c r="A258" s="51" t="s">
        <v>45</v>
      </c>
      <c r="B258" s="51" t="s">
        <v>111</v>
      </c>
      <c r="C258" s="24">
        <v>1985.0</v>
      </c>
      <c r="D258" s="24">
        <v>0.06275</v>
      </c>
      <c r="E258" s="52">
        <v>20.0</v>
      </c>
      <c r="F258" s="53">
        <f t="shared" si="1"/>
        <v>1.345611</v>
      </c>
      <c r="G258" s="52">
        <v>3.0</v>
      </c>
      <c r="H258" s="54">
        <f t="shared" si="2"/>
        <v>0.1925447355</v>
      </c>
      <c r="I258" s="52">
        <v>5.3</v>
      </c>
      <c r="J258" s="54">
        <f t="shared" si="3"/>
        <v>0.5619370116</v>
      </c>
      <c r="K258" s="55">
        <v>2.596153846</v>
      </c>
      <c r="L258" s="54">
        <f t="shared" si="4"/>
        <v>0.1839909885</v>
      </c>
      <c r="M258" s="55">
        <v>2.096153846</v>
      </c>
      <c r="N258" s="56">
        <f t="shared" si="5"/>
        <v>0.1389789848</v>
      </c>
      <c r="O258" s="57">
        <v>0.546</v>
      </c>
      <c r="P258" s="24">
        <v>30026.0</v>
      </c>
      <c r="Q258" s="24">
        <v>10525.0</v>
      </c>
      <c r="R258" s="24">
        <v>5176.0</v>
      </c>
      <c r="S258" s="24">
        <v>1941.0</v>
      </c>
      <c r="T258" s="24">
        <v>2272.0</v>
      </c>
      <c r="U258" s="24">
        <v>24.1561</v>
      </c>
      <c r="V258" s="24">
        <v>8.4674</v>
      </c>
      <c r="W258" s="24">
        <v>4.1641</v>
      </c>
      <c r="X258" s="24">
        <v>1.5615</v>
      </c>
      <c r="Y258" s="24">
        <v>1.8278</v>
      </c>
      <c r="Z258" s="24">
        <v>110.8</v>
      </c>
      <c r="AA258" s="24">
        <v>26.3</v>
      </c>
      <c r="AB258" s="24">
        <v>5.3</v>
      </c>
      <c r="AC258" s="24">
        <v>43.5</v>
      </c>
      <c r="AD258" s="24">
        <v>8.5</v>
      </c>
      <c r="AE258" s="24">
        <v>1.0722</v>
      </c>
      <c r="AF258" s="24">
        <v>1.689655</v>
      </c>
      <c r="AG258" s="24">
        <v>1.129412</v>
      </c>
      <c r="AH258" s="24">
        <v>1.056604</v>
      </c>
      <c r="AI258" s="24">
        <v>1.022814</v>
      </c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</row>
    <row r="259">
      <c r="A259" s="51" t="s">
        <v>45</v>
      </c>
      <c r="B259" s="51" t="s">
        <v>111</v>
      </c>
      <c r="C259" s="24">
        <v>1986.0</v>
      </c>
      <c r="D259" s="24">
        <v>0.05953</v>
      </c>
      <c r="E259" s="52">
        <v>18.1</v>
      </c>
      <c r="F259" s="53">
        <f t="shared" si="1"/>
        <v>1.161537454</v>
      </c>
      <c r="G259" s="52">
        <v>3.4</v>
      </c>
      <c r="H259" s="54">
        <f t="shared" si="2"/>
        <v>0.2094081452</v>
      </c>
      <c r="I259" s="52">
        <v>5.0</v>
      </c>
      <c r="J259" s="54">
        <f t="shared" si="3"/>
        <v>0.501772417</v>
      </c>
      <c r="K259" s="55">
        <v>2.290540541</v>
      </c>
      <c r="L259" s="54">
        <f t="shared" si="4"/>
        <v>0.148751855</v>
      </c>
      <c r="M259" s="55">
        <v>1.662162162</v>
      </c>
      <c r="N259" s="56">
        <f t="shared" si="5"/>
        <v>0.1045493952</v>
      </c>
      <c r="O259" s="57">
        <v>0.537</v>
      </c>
      <c r="P259" s="24">
        <v>30026.0</v>
      </c>
      <c r="Q259" s="24">
        <v>10525.0</v>
      </c>
      <c r="R259" s="24">
        <v>5176.0</v>
      </c>
      <c r="S259" s="24">
        <v>1941.0</v>
      </c>
      <c r="T259" s="24">
        <v>2272.0</v>
      </c>
      <c r="U259" s="24">
        <v>24.1561</v>
      </c>
      <c r="V259" s="24">
        <v>8.4674</v>
      </c>
      <c r="W259" s="24">
        <v>4.1641</v>
      </c>
      <c r="X259" s="24">
        <v>1.5615</v>
      </c>
      <c r="Y259" s="24">
        <v>1.8278</v>
      </c>
      <c r="Z259" s="24">
        <v>110.2</v>
      </c>
      <c r="AA259" s="24">
        <v>26.0</v>
      </c>
      <c r="AB259" s="24">
        <v>5.3</v>
      </c>
      <c r="AC259" s="24">
        <v>43.6</v>
      </c>
      <c r="AD259" s="24">
        <v>8.8</v>
      </c>
      <c r="AE259" s="24">
        <v>1.078</v>
      </c>
      <c r="AF259" s="24">
        <v>1.68578</v>
      </c>
      <c r="AG259" s="24">
        <v>1.090909</v>
      </c>
      <c r="AH259" s="24">
        <v>1.056604</v>
      </c>
      <c r="AI259" s="24">
        <v>1.034615</v>
      </c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</row>
    <row r="260">
      <c r="A260" s="51" t="s">
        <v>45</v>
      </c>
      <c r="B260" s="51" t="s">
        <v>111</v>
      </c>
      <c r="C260" s="24">
        <v>1987.0</v>
      </c>
      <c r="D260" s="24">
        <v>0.04827</v>
      </c>
      <c r="E260" s="52">
        <v>16.8</v>
      </c>
      <c r="F260" s="53">
        <f t="shared" si="1"/>
        <v>0.876621816</v>
      </c>
      <c r="G260" s="52">
        <v>3.2</v>
      </c>
      <c r="H260" s="54">
        <f t="shared" si="2"/>
        <v>0.1598107714</v>
      </c>
      <c r="I260" s="52">
        <v>4.4</v>
      </c>
      <c r="J260" s="54">
        <f t="shared" si="3"/>
        <v>0.3547845965</v>
      </c>
      <c r="K260" s="55">
        <v>1.9</v>
      </c>
      <c r="L260" s="54">
        <f t="shared" si="4"/>
        <v>0.1023772959</v>
      </c>
      <c r="M260" s="55">
        <v>2.35</v>
      </c>
      <c r="N260" s="56">
        <f t="shared" si="5"/>
        <v>0.1154969661</v>
      </c>
      <c r="O260" s="57">
        <v>0.527</v>
      </c>
      <c r="P260" s="24">
        <v>30026.0</v>
      </c>
      <c r="Q260" s="24">
        <v>10525.0</v>
      </c>
      <c r="R260" s="24">
        <v>5176.0</v>
      </c>
      <c r="S260" s="24">
        <v>1941.0</v>
      </c>
      <c r="T260" s="24">
        <v>2272.0</v>
      </c>
      <c r="U260" s="24">
        <v>24.1561</v>
      </c>
      <c r="V260" s="24">
        <v>8.4674</v>
      </c>
      <c r="W260" s="24">
        <v>4.1641</v>
      </c>
      <c r="X260" s="24">
        <v>1.5615</v>
      </c>
      <c r="Y260" s="24">
        <v>1.8278</v>
      </c>
      <c r="Z260" s="24">
        <v>109.9</v>
      </c>
      <c r="AA260" s="24">
        <v>26.0</v>
      </c>
      <c r="AB260" s="24">
        <v>5.5</v>
      </c>
      <c r="AC260" s="24">
        <v>44.0</v>
      </c>
      <c r="AD260" s="24">
        <v>8.6</v>
      </c>
      <c r="AE260" s="24">
        <v>1.081</v>
      </c>
      <c r="AF260" s="24">
        <v>1.670455</v>
      </c>
      <c r="AG260" s="24">
        <v>1.116279</v>
      </c>
      <c r="AH260" s="24">
        <v>1.018182</v>
      </c>
      <c r="AI260" s="24">
        <v>1.034615</v>
      </c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8"/>
    </row>
    <row r="261">
      <c r="A261" s="51" t="s">
        <v>38</v>
      </c>
      <c r="B261" s="51" t="s">
        <v>107</v>
      </c>
      <c r="C261" s="24">
        <v>1970.0</v>
      </c>
      <c r="D261" s="24">
        <v>0.05256</v>
      </c>
      <c r="E261" s="52">
        <v>28.8</v>
      </c>
      <c r="F261" s="53">
        <f t="shared" si="1"/>
        <v>1.540975104</v>
      </c>
      <c r="G261" s="52">
        <v>4.1</v>
      </c>
      <c r="H261" s="54">
        <f t="shared" si="2"/>
        <v>0.2346900132</v>
      </c>
      <c r="I261" s="52">
        <v>14.5</v>
      </c>
      <c r="J261" s="54">
        <f t="shared" si="3"/>
        <v>1.058900198</v>
      </c>
      <c r="K261" s="55">
        <v>0.0</v>
      </c>
      <c r="L261" s="54" t="str">
        <f t="shared" si="4"/>
        <v>No Stat</v>
      </c>
      <c r="M261" s="55">
        <v>0.0</v>
      </c>
      <c r="N261" s="56" t="str">
        <f t="shared" si="5"/>
        <v>No Stat</v>
      </c>
      <c r="O261" s="57">
        <v>0.552</v>
      </c>
      <c r="P261" s="24">
        <v>38387.0</v>
      </c>
      <c r="Q261" s="24">
        <v>17440.0</v>
      </c>
      <c r="R261" s="24">
        <v>5660.0</v>
      </c>
      <c r="S261" s="24">
        <v>3189.0</v>
      </c>
      <c r="T261" s="24">
        <v>1160.0</v>
      </c>
      <c r="U261" s="24">
        <v>24.6071</v>
      </c>
      <c r="V261" s="24">
        <v>11.1795</v>
      </c>
      <c r="W261" s="24">
        <v>3.6282</v>
      </c>
      <c r="X261" s="24">
        <v>2.0442</v>
      </c>
      <c r="Y261" s="24">
        <v>0.7436</v>
      </c>
      <c r="Z261" s="24">
        <v>116.7</v>
      </c>
      <c r="AA261" s="24">
        <v>24.7</v>
      </c>
      <c r="AB261" s="25"/>
      <c r="AC261" s="24">
        <v>52.9</v>
      </c>
      <c r="AD261" s="25"/>
      <c r="AE261" s="24">
        <v>1.018</v>
      </c>
      <c r="AF261" s="24">
        <v>1.389414</v>
      </c>
      <c r="AG261" s="51" t="s">
        <v>108</v>
      </c>
      <c r="AH261" s="51" t="s">
        <v>108</v>
      </c>
      <c r="AI261" s="24">
        <v>1.089069</v>
      </c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</row>
    <row r="262">
      <c r="A262" s="51" t="s">
        <v>38</v>
      </c>
      <c r="B262" s="51" t="s">
        <v>107</v>
      </c>
      <c r="C262" s="24">
        <v>1971.0</v>
      </c>
      <c r="D262" s="24">
        <v>0.05256</v>
      </c>
      <c r="E262" s="52">
        <v>31.7</v>
      </c>
      <c r="F262" s="53">
        <f t="shared" si="1"/>
        <v>1.760956049</v>
      </c>
      <c r="G262" s="52">
        <v>3.3</v>
      </c>
      <c r="H262" s="54">
        <f t="shared" si="2"/>
        <v>0.1920062422</v>
      </c>
      <c r="I262" s="52">
        <v>16.0</v>
      </c>
      <c r="J262" s="54">
        <f t="shared" si="3"/>
        <v>1.164040854</v>
      </c>
      <c r="K262" s="55">
        <v>0.0</v>
      </c>
      <c r="L262" s="54" t="str">
        <f t="shared" si="4"/>
        <v>No Stat</v>
      </c>
      <c r="M262" s="55">
        <v>0.0</v>
      </c>
      <c r="N262" s="56" t="str">
        <f t="shared" si="5"/>
        <v>No Stat</v>
      </c>
      <c r="O262" s="57">
        <v>0.606</v>
      </c>
      <c r="P262" s="24">
        <v>38387.0</v>
      </c>
      <c r="Q262" s="24">
        <v>17440.0</v>
      </c>
      <c r="R262" s="24">
        <v>5660.0</v>
      </c>
      <c r="S262" s="24">
        <v>3189.0</v>
      </c>
      <c r="T262" s="24">
        <v>1160.0</v>
      </c>
      <c r="U262" s="24">
        <v>24.6071</v>
      </c>
      <c r="V262" s="24">
        <v>11.1795</v>
      </c>
      <c r="W262" s="24">
        <v>3.6282</v>
      </c>
      <c r="X262" s="24">
        <v>2.0442</v>
      </c>
      <c r="Y262" s="24">
        <v>0.7436</v>
      </c>
      <c r="Z262" s="24">
        <v>112.4</v>
      </c>
      <c r="AA262" s="24">
        <v>24.3</v>
      </c>
      <c r="AB262" s="25"/>
      <c r="AC262" s="24">
        <v>53.1</v>
      </c>
      <c r="AD262" s="25"/>
      <c r="AE262" s="24">
        <v>1.0569</v>
      </c>
      <c r="AF262" s="24">
        <v>1.384181</v>
      </c>
      <c r="AG262" s="51" t="s">
        <v>108</v>
      </c>
      <c r="AH262" s="51" t="s">
        <v>108</v>
      </c>
      <c r="AI262" s="24">
        <v>1.106996</v>
      </c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8"/>
    </row>
    <row r="263">
      <c r="A263" s="51" t="s">
        <v>38</v>
      </c>
      <c r="B263" s="51" t="s">
        <v>107</v>
      </c>
      <c r="C263" s="24">
        <v>1972.0</v>
      </c>
      <c r="D263" s="24">
        <v>0.05192</v>
      </c>
      <c r="E263" s="52">
        <v>34.8</v>
      </c>
      <c r="F263" s="53">
        <f t="shared" si="1"/>
        <v>1.947747648</v>
      </c>
      <c r="G263" s="52">
        <v>4.6</v>
      </c>
      <c r="H263" s="54">
        <f t="shared" si="2"/>
        <v>0.2665802183</v>
      </c>
      <c r="I263" s="52">
        <v>16.6</v>
      </c>
      <c r="J263" s="54">
        <f t="shared" si="3"/>
        <v>1.239678762</v>
      </c>
      <c r="K263" s="55">
        <v>0.0</v>
      </c>
      <c r="L263" s="54" t="str">
        <f t="shared" si="4"/>
        <v>No Stat</v>
      </c>
      <c r="M263" s="55">
        <v>0.0</v>
      </c>
      <c r="N263" s="56" t="str">
        <f t="shared" si="5"/>
        <v>No Stat</v>
      </c>
      <c r="O263" s="57">
        <v>0.603</v>
      </c>
      <c r="P263" s="24">
        <v>38387.0</v>
      </c>
      <c r="Q263" s="24">
        <v>17440.0</v>
      </c>
      <c r="R263" s="24">
        <v>5660.0</v>
      </c>
      <c r="S263" s="24">
        <v>3189.0</v>
      </c>
      <c r="T263" s="24">
        <v>1160.0</v>
      </c>
      <c r="U263" s="24">
        <v>24.6071</v>
      </c>
      <c r="V263" s="24">
        <v>11.1795</v>
      </c>
      <c r="W263" s="24">
        <v>3.6282</v>
      </c>
      <c r="X263" s="24">
        <v>2.0442</v>
      </c>
      <c r="Y263" s="24">
        <v>0.7436</v>
      </c>
      <c r="Z263" s="24">
        <v>110.2</v>
      </c>
      <c r="AA263" s="24">
        <v>24.1</v>
      </c>
      <c r="AB263" s="25"/>
      <c r="AC263" s="24">
        <v>51.1</v>
      </c>
      <c r="AD263" s="25"/>
      <c r="AE263" s="24">
        <v>1.078</v>
      </c>
      <c r="AF263" s="24">
        <v>1.438356</v>
      </c>
      <c r="AG263" s="51" t="s">
        <v>108</v>
      </c>
      <c r="AH263" s="51" t="s">
        <v>108</v>
      </c>
      <c r="AI263" s="24">
        <v>1.116183</v>
      </c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8"/>
    </row>
    <row r="264">
      <c r="A264" s="51" t="s">
        <v>38</v>
      </c>
      <c r="B264" s="51" t="s">
        <v>107</v>
      </c>
      <c r="C264" s="24">
        <v>1973.0</v>
      </c>
      <c r="D264" s="24">
        <v>0.04872</v>
      </c>
      <c r="E264" s="52">
        <v>30.2</v>
      </c>
      <c r="F264" s="53">
        <f t="shared" si="1"/>
        <v>1.62451091</v>
      </c>
      <c r="G264" s="52">
        <v>5.0</v>
      </c>
      <c r="H264" s="54">
        <f t="shared" si="2"/>
        <v>0.260033256</v>
      </c>
      <c r="I264" s="52">
        <v>16.1</v>
      </c>
      <c r="J264" s="54">
        <f t="shared" si="3"/>
        <v>1.139383503</v>
      </c>
      <c r="K264" s="55">
        <v>0.0</v>
      </c>
      <c r="L264" s="54" t="str">
        <f t="shared" si="4"/>
        <v>No Stat</v>
      </c>
      <c r="M264" s="55">
        <v>0.0</v>
      </c>
      <c r="N264" s="56" t="str">
        <f t="shared" si="5"/>
        <v>No Stat</v>
      </c>
      <c r="O264" s="57">
        <v>0.58</v>
      </c>
      <c r="P264" s="24">
        <v>38387.0</v>
      </c>
      <c r="Q264" s="24">
        <v>17440.0</v>
      </c>
      <c r="R264" s="24">
        <v>5660.0</v>
      </c>
      <c r="S264" s="24">
        <v>3189.0</v>
      </c>
      <c r="T264" s="24">
        <v>1160.0</v>
      </c>
      <c r="U264" s="24">
        <v>24.6071</v>
      </c>
      <c r="V264" s="24">
        <v>11.1795</v>
      </c>
      <c r="W264" s="24">
        <v>3.6282</v>
      </c>
      <c r="X264" s="24">
        <v>2.0442</v>
      </c>
      <c r="Y264" s="24">
        <v>0.7436</v>
      </c>
      <c r="Z264" s="24">
        <v>107.6</v>
      </c>
      <c r="AA264" s="24">
        <v>25.2</v>
      </c>
      <c r="AB264" s="25"/>
      <c r="AC264" s="24">
        <v>50.6</v>
      </c>
      <c r="AD264" s="25"/>
      <c r="AE264" s="24">
        <v>1.1041</v>
      </c>
      <c r="AF264" s="24">
        <v>1.452569</v>
      </c>
      <c r="AG264" s="51" t="s">
        <v>108</v>
      </c>
      <c r="AH264" s="51" t="s">
        <v>108</v>
      </c>
      <c r="AI264" s="24">
        <v>1.06746</v>
      </c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8"/>
    </row>
    <row r="265">
      <c r="A265" s="51" t="s">
        <v>38</v>
      </c>
      <c r="B265" s="51" t="s">
        <v>107</v>
      </c>
      <c r="C265" s="24">
        <v>1974.0</v>
      </c>
      <c r="D265" s="24">
        <v>0.05192</v>
      </c>
      <c r="E265" s="52">
        <v>27.0</v>
      </c>
      <c r="F265" s="53">
        <f t="shared" si="1"/>
        <v>1.575527976</v>
      </c>
      <c r="G265" s="52">
        <v>4.8</v>
      </c>
      <c r="H265" s="54">
        <f t="shared" si="2"/>
        <v>0.2725166991</v>
      </c>
      <c r="I265" s="52">
        <v>14.5</v>
      </c>
      <c r="J265" s="54">
        <f t="shared" si="3"/>
        <v>1.148002705</v>
      </c>
      <c r="K265" s="55">
        <v>2.074074074</v>
      </c>
      <c r="L265" s="54">
        <f t="shared" si="4"/>
        <v>0.1188258196</v>
      </c>
      <c r="M265" s="55">
        <v>5.240740741</v>
      </c>
      <c r="N265" s="56">
        <f t="shared" si="5"/>
        <v>0.3242032743</v>
      </c>
      <c r="O265" s="57">
        <v>0.564</v>
      </c>
      <c r="P265" s="24">
        <v>38387.0</v>
      </c>
      <c r="Q265" s="24">
        <v>17440.0</v>
      </c>
      <c r="R265" s="24">
        <v>5660.0</v>
      </c>
      <c r="S265" s="24">
        <v>3189.0</v>
      </c>
      <c r="T265" s="24">
        <v>1160.0</v>
      </c>
      <c r="U265" s="24">
        <v>24.6071</v>
      </c>
      <c r="V265" s="24">
        <v>11.1795</v>
      </c>
      <c r="W265" s="24">
        <v>3.6282</v>
      </c>
      <c r="X265" s="24">
        <v>2.0442</v>
      </c>
      <c r="Y265" s="24">
        <v>0.7436</v>
      </c>
      <c r="Z265" s="24">
        <v>105.7</v>
      </c>
      <c r="AA265" s="24">
        <v>24.6</v>
      </c>
      <c r="AB265" s="24">
        <v>4.7</v>
      </c>
      <c r="AC265" s="24">
        <v>48.2</v>
      </c>
      <c r="AD265" s="24">
        <v>8.7</v>
      </c>
      <c r="AE265" s="24">
        <v>1.1239</v>
      </c>
      <c r="AF265" s="24">
        <v>1.524896</v>
      </c>
      <c r="AG265" s="24">
        <v>1.103448</v>
      </c>
      <c r="AH265" s="24">
        <v>1.191489</v>
      </c>
      <c r="AI265" s="24">
        <v>1.093496</v>
      </c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</row>
    <row r="266">
      <c r="A266" s="51" t="s">
        <v>38</v>
      </c>
      <c r="B266" s="51" t="s">
        <v>107</v>
      </c>
      <c r="C266" s="24">
        <v>1975.0</v>
      </c>
      <c r="D266" s="24">
        <v>0.04167</v>
      </c>
      <c r="E266" s="52">
        <v>30.0</v>
      </c>
      <c r="F266" s="53">
        <f t="shared" si="1"/>
        <v>1.44749079</v>
      </c>
      <c r="G266" s="52">
        <v>4.1</v>
      </c>
      <c r="H266" s="54">
        <f t="shared" si="2"/>
        <v>0.1931001634</v>
      </c>
      <c r="I266" s="52">
        <v>14.0</v>
      </c>
      <c r="J266" s="54">
        <f t="shared" si="3"/>
        <v>0.9103703238</v>
      </c>
      <c r="K266" s="55">
        <v>1.5</v>
      </c>
      <c r="L266" s="54">
        <f t="shared" si="4"/>
        <v>0.06818726705</v>
      </c>
      <c r="M266" s="55">
        <v>4.892307692</v>
      </c>
      <c r="N266" s="56">
        <f t="shared" si="5"/>
        <v>0.2654953841</v>
      </c>
      <c r="O266" s="57">
        <v>0.55</v>
      </c>
      <c r="P266" s="24">
        <v>38387.0</v>
      </c>
      <c r="Q266" s="24">
        <v>17440.0</v>
      </c>
      <c r="R266" s="24">
        <v>5660.0</v>
      </c>
      <c r="S266" s="24">
        <v>3189.0</v>
      </c>
      <c r="T266" s="24">
        <v>1160.0</v>
      </c>
      <c r="U266" s="24">
        <v>24.6071</v>
      </c>
      <c r="V266" s="24">
        <v>11.1795</v>
      </c>
      <c r="W266" s="24">
        <v>3.6282</v>
      </c>
      <c r="X266" s="24">
        <v>2.0442</v>
      </c>
      <c r="Y266" s="24">
        <v>0.7436</v>
      </c>
      <c r="Z266" s="24">
        <v>102.6</v>
      </c>
      <c r="AA266" s="24">
        <v>23.8</v>
      </c>
      <c r="AB266" s="24">
        <v>4.3</v>
      </c>
      <c r="AC266" s="24">
        <v>47.1</v>
      </c>
      <c r="AD266" s="24">
        <v>8.8</v>
      </c>
      <c r="AE266" s="24">
        <v>1.1579</v>
      </c>
      <c r="AF266" s="24">
        <v>1.56051</v>
      </c>
      <c r="AG266" s="24">
        <v>1.090909</v>
      </c>
      <c r="AH266" s="24">
        <v>1.302326</v>
      </c>
      <c r="AI266" s="24">
        <v>1.130252</v>
      </c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</row>
    <row r="267">
      <c r="A267" s="51" t="s">
        <v>38</v>
      </c>
      <c r="B267" s="51" t="s">
        <v>107</v>
      </c>
      <c r="C267" s="24">
        <v>1976.0</v>
      </c>
      <c r="D267" s="24">
        <v>0.05256</v>
      </c>
      <c r="E267" s="52">
        <v>27.7</v>
      </c>
      <c r="F267" s="53">
        <f t="shared" si="1"/>
        <v>1.658283768</v>
      </c>
      <c r="G267" s="52">
        <v>5.0</v>
      </c>
      <c r="H267" s="54">
        <f t="shared" si="2"/>
        <v>0.307361682</v>
      </c>
      <c r="I267" s="52">
        <v>16.9</v>
      </c>
      <c r="J267" s="54">
        <f t="shared" si="3"/>
        <v>1.377371471</v>
      </c>
      <c r="K267" s="55">
        <v>2.176829268</v>
      </c>
      <c r="L267" s="54">
        <f t="shared" si="4"/>
        <v>0.1234130478</v>
      </c>
      <c r="M267" s="55">
        <v>6.182926829</v>
      </c>
      <c r="N267" s="56">
        <f t="shared" si="5"/>
        <v>0.4136039912</v>
      </c>
      <c r="O267" s="57">
        <v>0.567</v>
      </c>
      <c r="P267" s="24">
        <v>38387.0</v>
      </c>
      <c r="Q267" s="24">
        <v>17440.0</v>
      </c>
      <c r="R267" s="24">
        <v>5660.0</v>
      </c>
      <c r="S267" s="24">
        <v>3189.0</v>
      </c>
      <c r="T267" s="24">
        <v>1160.0</v>
      </c>
      <c r="U267" s="24">
        <v>24.6071</v>
      </c>
      <c r="V267" s="24">
        <v>11.1795</v>
      </c>
      <c r="W267" s="24">
        <v>3.6282</v>
      </c>
      <c r="X267" s="24">
        <v>2.0442</v>
      </c>
      <c r="Y267" s="24">
        <v>0.7436</v>
      </c>
      <c r="Z267" s="24">
        <v>104.3</v>
      </c>
      <c r="AA267" s="24">
        <v>23.0</v>
      </c>
      <c r="AB267" s="24">
        <v>4.4</v>
      </c>
      <c r="AC267" s="24">
        <v>47.4</v>
      </c>
      <c r="AD267" s="24">
        <v>8.9</v>
      </c>
      <c r="AE267" s="24">
        <v>1.139</v>
      </c>
      <c r="AF267" s="24">
        <v>1.550633</v>
      </c>
      <c r="AG267" s="24">
        <v>1.078652</v>
      </c>
      <c r="AH267" s="24">
        <v>1.272727</v>
      </c>
      <c r="AI267" s="24">
        <v>1.169565</v>
      </c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8"/>
    </row>
    <row r="268">
      <c r="A268" s="51" t="s">
        <v>38</v>
      </c>
      <c r="B268" s="51" t="s">
        <v>107</v>
      </c>
      <c r="C268" s="24">
        <v>1977.0</v>
      </c>
      <c r="D268" s="24">
        <v>0.05256</v>
      </c>
      <c r="E268" s="52">
        <v>26.2</v>
      </c>
      <c r="F268" s="53">
        <f t="shared" si="1"/>
        <v>1.536123816</v>
      </c>
      <c r="G268" s="52">
        <v>3.9</v>
      </c>
      <c r="H268" s="54">
        <f t="shared" si="2"/>
        <v>0.2307142066</v>
      </c>
      <c r="I268" s="52">
        <v>13.3</v>
      </c>
      <c r="J268" s="54">
        <f t="shared" si="3"/>
        <v>1.090871394</v>
      </c>
      <c r="K268" s="55">
        <v>1.847560976</v>
      </c>
      <c r="L268" s="54">
        <f t="shared" si="4"/>
        <v>0.09917396766</v>
      </c>
      <c r="M268" s="55">
        <v>4.774390244</v>
      </c>
      <c r="N268" s="56">
        <f t="shared" si="5"/>
        <v>0.2755440492</v>
      </c>
      <c r="O268" s="57">
        <v>0.608</v>
      </c>
      <c r="P268" s="24">
        <v>38387.0</v>
      </c>
      <c r="Q268" s="24">
        <v>17440.0</v>
      </c>
      <c r="R268" s="24">
        <v>5660.0</v>
      </c>
      <c r="S268" s="24">
        <v>3189.0</v>
      </c>
      <c r="T268" s="24">
        <v>1160.0</v>
      </c>
      <c r="U268" s="24">
        <v>24.6071</v>
      </c>
      <c r="V268" s="24">
        <v>11.1795</v>
      </c>
      <c r="W268" s="24">
        <v>3.6282</v>
      </c>
      <c r="X268" s="24">
        <v>2.0442</v>
      </c>
      <c r="Y268" s="24">
        <v>0.7436</v>
      </c>
      <c r="Z268" s="24">
        <v>106.5</v>
      </c>
      <c r="AA268" s="24">
        <v>23.9</v>
      </c>
      <c r="AB268" s="24">
        <v>5.1</v>
      </c>
      <c r="AC268" s="24">
        <v>47.1</v>
      </c>
      <c r="AD268" s="24">
        <v>9.4</v>
      </c>
      <c r="AE268" s="24">
        <v>1.1155</v>
      </c>
      <c r="AF268" s="24">
        <v>1.56051</v>
      </c>
      <c r="AG268" s="24">
        <v>1.021277</v>
      </c>
      <c r="AH268" s="24">
        <v>1.098039</v>
      </c>
      <c r="AI268" s="24">
        <v>1.125523</v>
      </c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8"/>
    </row>
    <row r="269">
      <c r="A269" s="51" t="s">
        <v>38</v>
      </c>
      <c r="B269" s="51" t="s">
        <v>107</v>
      </c>
      <c r="C269" s="24">
        <v>1978.0</v>
      </c>
      <c r="D269" s="24">
        <v>0.03974</v>
      </c>
      <c r="E269" s="52">
        <v>25.8</v>
      </c>
      <c r="F269" s="53">
        <f t="shared" si="1"/>
        <v>1.122592211</v>
      </c>
      <c r="G269" s="52">
        <v>4.3</v>
      </c>
      <c r="H269" s="54">
        <f t="shared" si="2"/>
        <v>0.183869032</v>
      </c>
      <c r="I269" s="52">
        <v>12.9</v>
      </c>
      <c r="J269" s="54">
        <f t="shared" si="3"/>
        <v>0.7999892095</v>
      </c>
      <c r="K269" s="55">
        <v>2.491935484</v>
      </c>
      <c r="L269" s="54">
        <f t="shared" si="4"/>
        <v>0.09902951613</v>
      </c>
      <c r="M269" s="55">
        <v>4.475806452</v>
      </c>
      <c r="N269" s="56">
        <f t="shared" si="5"/>
        <v>0.195306603</v>
      </c>
      <c r="O269" s="57">
        <v>0.589</v>
      </c>
      <c r="P269" s="24">
        <v>38387.0</v>
      </c>
      <c r="Q269" s="24">
        <v>17440.0</v>
      </c>
      <c r="R269" s="24">
        <v>5660.0</v>
      </c>
      <c r="S269" s="24">
        <v>3189.0</v>
      </c>
      <c r="T269" s="24">
        <v>1160.0</v>
      </c>
      <c r="U269" s="24">
        <v>24.6071</v>
      </c>
      <c r="V269" s="24">
        <v>11.1795</v>
      </c>
      <c r="W269" s="24">
        <v>3.6282</v>
      </c>
      <c r="X269" s="24">
        <v>2.0442</v>
      </c>
      <c r="Y269" s="24">
        <v>0.7436</v>
      </c>
      <c r="Z269" s="24">
        <v>108.5</v>
      </c>
      <c r="AA269" s="24">
        <v>25.0</v>
      </c>
      <c r="AB269" s="24">
        <v>5.1</v>
      </c>
      <c r="AC269" s="24">
        <v>47.1</v>
      </c>
      <c r="AD269" s="24">
        <v>9.6</v>
      </c>
      <c r="AE269" s="24">
        <v>1.0949</v>
      </c>
      <c r="AF269" s="24">
        <v>1.56051</v>
      </c>
      <c r="AG269" s="24">
        <v>1.0</v>
      </c>
      <c r="AH269" s="24">
        <v>1.098039</v>
      </c>
      <c r="AI269" s="24">
        <v>1.076</v>
      </c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8"/>
    </row>
    <row r="270">
      <c r="A270" s="51" t="s">
        <v>38</v>
      </c>
      <c r="B270" s="51" t="s">
        <v>107</v>
      </c>
      <c r="C270" s="24">
        <v>1979.0</v>
      </c>
      <c r="D270" s="24">
        <v>0.05128</v>
      </c>
      <c r="E270" s="52">
        <v>23.8</v>
      </c>
      <c r="F270" s="53">
        <f t="shared" si="1"/>
        <v>1.314561774</v>
      </c>
      <c r="G270" s="52">
        <v>5.4</v>
      </c>
      <c r="H270" s="54">
        <f t="shared" si="2"/>
        <v>0.28871842</v>
      </c>
      <c r="I270" s="52">
        <v>12.8</v>
      </c>
      <c r="J270" s="54">
        <f t="shared" si="3"/>
        <v>1.067349961</v>
      </c>
      <c r="K270" s="55">
        <v>1.425</v>
      </c>
      <c r="L270" s="54">
        <f t="shared" si="4"/>
        <v>0.07708905093</v>
      </c>
      <c r="M270" s="55">
        <v>5.925</v>
      </c>
      <c r="N270" s="56">
        <f t="shared" si="5"/>
        <v>0.3150870999</v>
      </c>
      <c r="O270" s="57">
        <v>0.612</v>
      </c>
      <c r="P270" s="24">
        <v>38387.0</v>
      </c>
      <c r="Q270" s="24">
        <v>17440.0</v>
      </c>
      <c r="R270" s="24">
        <v>5660.0</v>
      </c>
      <c r="S270" s="24">
        <v>3189.0</v>
      </c>
      <c r="T270" s="24">
        <v>1160.0</v>
      </c>
      <c r="U270" s="24">
        <v>24.6071</v>
      </c>
      <c r="V270" s="24">
        <v>11.1795</v>
      </c>
      <c r="W270" s="24">
        <v>3.6282</v>
      </c>
      <c r="X270" s="24">
        <v>2.0442</v>
      </c>
      <c r="Y270" s="24">
        <v>0.7436</v>
      </c>
      <c r="Z270" s="24">
        <v>110.3</v>
      </c>
      <c r="AA270" s="24">
        <v>25.8</v>
      </c>
      <c r="AB270" s="24">
        <v>5.4</v>
      </c>
      <c r="AC270" s="24">
        <v>45.2</v>
      </c>
      <c r="AD270" s="24">
        <v>9.1</v>
      </c>
      <c r="AE270" s="24">
        <v>1.0771</v>
      </c>
      <c r="AF270" s="24">
        <v>1.626106</v>
      </c>
      <c r="AG270" s="24">
        <v>1.054945</v>
      </c>
      <c r="AH270" s="24">
        <v>1.037037</v>
      </c>
      <c r="AI270" s="24">
        <v>1.042636</v>
      </c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</row>
    <row r="271">
      <c r="A271" s="51" t="s">
        <v>38</v>
      </c>
      <c r="B271" s="51" t="s">
        <v>107</v>
      </c>
      <c r="C271" s="24">
        <v>1980.0</v>
      </c>
      <c r="D271" s="24">
        <v>0.05256</v>
      </c>
      <c r="E271" s="52">
        <v>24.8</v>
      </c>
      <c r="F271" s="53">
        <f t="shared" si="1"/>
        <v>1.416761107</v>
      </c>
      <c r="G271" s="52">
        <v>4.5</v>
      </c>
      <c r="H271" s="54">
        <f t="shared" si="2"/>
        <v>0.2466042667</v>
      </c>
      <c r="I271" s="52">
        <v>10.8</v>
      </c>
      <c r="J271" s="54">
        <f t="shared" si="3"/>
        <v>0.9292233142</v>
      </c>
      <c r="K271" s="55">
        <v>1.481707317</v>
      </c>
      <c r="L271" s="54">
        <f t="shared" si="4"/>
        <v>0.0795355582</v>
      </c>
      <c r="M271" s="55">
        <v>5.12195122</v>
      </c>
      <c r="N271" s="56">
        <f t="shared" si="5"/>
        <v>0.2844481052</v>
      </c>
      <c r="O271" s="57">
        <v>0.639</v>
      </c>
      <c r="P271" s="24">
        <v>38387.0</v>
      </c>
      <c r="Q271" s="24">
        <v>17440.0</v>
      </c>
      <c r="R271" s="24">
        <v>5660.0</v>
      </c>
      <c r="S271" s="24">
        <v>3189.0</v>
      </c>
      <c r="T271" s="24">
        <v>1160.0</v>
      </c>
      <c r="U271" s="24">
        <v>24.6071</v>
      </c>
      <c r="V271" s="24">
        <v>11.1795</v>
      </c>
      <c r="W271" s="24">
        <v>3.6282</v>
      </c>
      <c r="X271" s="24">
        <v>2.0442</v>
      </c>
      <c r="Y271" s="24">
        <v>0.7436</v>
      </c>
      <c r="Z271" s="24">
        <v>109.3</v>
      </c>
      <c r="AA271" s="24">
        <v>25.8</v>
      </c>
      <c r="AB271" s="24">
        <v>5.3</v>
      </c>
      <c r="AC271" s="24">
        <v>44.9</v>
      </c>
      <c r="AD271" s="24">
        <v>9.4</v>
      </c>
      <c r="AE271" s="24">
        <v>1.0869</v>
      </c>
      <c r="AF271" s="24">
        <v>1.636971</v>
      </c>
      <c r="AG271" s="24">
        <v>1.021277</v>
      </c>
      <c r="AH271" s="24">
        <v>1.056604</v>
      </c>
      <c r="AI271" s="24">
        <v>1.042636</v>
      </c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</row>
    <row r="272">
      <c r="A272" s="51" t="s">
        <v>38</v>
      </c>
      <c r="B272" s="51" t="s">
        <v>107</v>
      </c>
      <c r="C272" s="24">
        <v>1981.0</v>
      </c>
      <c r="D272" s="24">
        <v>0.05128</v>
      </c>
      <c r="E272" s="52">
        <v>26.2</v>
      </c>
      <c r="F272" s="53">
        <f t="shared" si="1"/>
        <v>1.476546064</v>
      </c>
      <c r="G272" s="52">
        <v>3.4</v>
      </c>
      <c r="H272" s="54">
        <f t="shared" si="2"/>
        <v>0.1839242735</v>
      </c>
      <c r="I272" s="52">
        <v>10.3</v>
      </c>
      <c r="J272" s="54">
        <f t="shared" si="3"/>
        <v>0.8924487365</v>
      </c>
      <c r="K272" s="55">
        <v>1.10625</v>
      </c>
      <c r="L272" s="54">
        <f t="shared" si="4"/>
        <v>0.06051041891</v>
      </c>
      <c r="M272" s="55">
        <v>4.275</v>
      </c>
      <c r="N272" s="56">
        <f t="shared" si="5"/>
        <v>0.2316308421</v>
      </c>
      <c r="O272" s="57">
        <v>0.616</v>
      </c>
      <c r="P272" s="24">
        <v>38387.0</v>
      </c>
      <c r="Q272" s="24">
        <v>17440.0</v>
      </c>
      <c r="R272" s="24">
        <v>5660.0</v>
      </c>
      <c r="S272" s="24">
        <v>3189.0</v>
      </c>
      <c r="T272" s="24">
        <v>1160.0</v>
      </c>
      <c r="U272" s="24">
        <v>24.6071</v>
      </c>
      <c r="V272" s="24">
        <v>11.1795</v>
      </c>
      <c r="W272" s="24">
        <v>3.6282</v>
      </c>
      <c r="X272" s="24">
        <v>2.0442</v>
      </c>
      <c r="Y272" s="24">
        <v>0.7436</v>
      </c>
      <c r="Z272" s="24">
        <v>108.1</v>
      </c>
      <c r="AA272" s="24">
        <v>25.5</v>
      </c>
      <c r="AB272" s="24">
        <v>5.3</v>
      </c>
      <c r="AC272" s="24">
        <v>43.5</v>
      </c>
      <c r="AD272" s="24">
        <v>9.0</v>
      </c>
      <c r="AE272" s="24">
        <v>1.099</v>
      </c>
      <c r="AF272" s="24">
        <v>1.689655</v>
      </c>
      <c r="AG272" s="24">
        <v>1.066667</v>
      </c>
      <c r="AH272" s="24">
        <v>1.056604</v>
      </c>
      <c r="AI272" s="24">
        <v>1.054902</v>
      </c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8"/>
    </row>
    <row r="273">
      <c r="A273" s="51" t="s">
        <v>38</v>
      </c>
      <c r="B273" s="51" t="s">
        <v>107</v>
      </c>
      <c r="C273" s="24">
        <v>1982.0</v>
      </c>
      <c r="D273" s="24">
        <v>0.04872</v>
      </c>
      <c r="E273" s="52">
        <v>23.9</v>
      </c>
      <c r="F273" s="53">
        <f t="shared" si="1"/>
        <v>1.273745911</v>
      </c>
      <c r="G273" s="52">
        <v>3.0</v>
      </c>
      <c r="H273" s="54">
        <f t="shared" si="2"/>
        <v>0.1560199536</v>
      </c>
      <c r="I273" s="52">
        <v>8.7</v>
      </c>
      <c r="J273" s="54">
        <f t="shared" si="3"/>
        <v>0.7161839269</v>
      </c>
      <c r="K273" s="55">
        <v>1.243421053</v>
      </c>
      <c r="L273" s="54">
        <f t="shared" si="4"/>
        <v>0.06841918455</v>
      </c>
      <c r="M273" s="55">
        <v>4.085526316</v>
      </c>
      <c r="N273" s="56">
        <f t="shared" si="5"/>
        <v>0.20641894</v>
      </c>
      <c r="O273" s="57">
        <v>0.608</v>
      </c>
      <c r="P273" s="24">
        <v>38387.0</v>
      </c>
      <c r="Q273" s="24">
        <v>17440.0</v>
      </c>
      <c r="R273" s="24">
        <v>5660.0</v>
      </c>
      <c r="S273" s="24">
        <v>3189.0</v>
      </c>
      <c r="T273" s="24">
        <v>1160.0</v>
      </c>
      <c r="U273" s="24">
        <v>24.6071</v>
      </c>
      <c r="V273" s="24">
        <v>11.1795</v>
      </c>
      <c r="W273" s="24">
        <v>3.6282</v>
      </c>
      <c r="X273" s="24">
        <v>2.0442</v>
      </c>
      <c r="Y273" s="24">
        <v>0.7436</v>
      </c>
      <c r="Z273" s="24">
        <v>108.6</v>
      </c>
      <c r="AA273" s="24">
        <v>25.2</v>
      </c>
      <c r="AB273" s="24">
        <v>5.4</v>
      </c>
      <c r="AC273" s="24">
        <v>43.5</v>
      </c>
      <c r="AD273" s="24">
        <v>8.5</v>
      </c>
      <c r="AE273" s="24">
        <v>1.0939</v>
      </c>
      <c r="AF273" s="24">
        <v>1.689655</v>
      </c>
      <c r="AG273" s="24">
        <v>1.129412</v>
      </c>
      <c r="AH273" s="24">
        <v>1.037037</v>
      </c>
      <c r="AI273" s="24">
        <v>1.06746</v>
      </c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</row>
    <row r="274">
      <c r="A274" s="51" t="s">
        <v>38</v>
      </c>
      <c r="B274" s="51" t="s">
        <v>107</v>
      </c>
      <c r="C274" s="24">
        <v>1983.0</v>
      </c>
      <c r="D274" s="24">
        <v>0.05064</v>
      </c>
      <c r="E274" s="52">
        <v>21.8</v>
      </c>
      <c r="F274" s="53">
        <f t="shared" si="1"/>
        <v>1.208717045</v>
      </c>
      <c r="G274" s="52">
        <v>2.5</v>
      </c>
      <c r="H274" s="54">
        <f t="shared" si="2"/>
        <v>0.131488026</v>
      </c>
      <c r="I274" s="52">
        <v>7.5</v>
      </c>
      <c r="J274" s="54">
        <f t="shared" si="3"/>
        <v>0.627309963</v>
      </c>
      <c r="K274" s="55">
        <v>1.158227848</v>
      </c>
      <c r="L274" s="54">
        <f t="shared" si="4"/>
        <v>0.0632658071</v>
      </c>
      <c r="M274" s="55">
        <v>3.227848101</v>
      </c>
      <c r="N274" s="56">
        <f t="shared" si="5"/>
        <v>0.1634582278</v>
      </c>
      <c r="O274" s="57">
        <v>0.619</v>
      </c>
      <c r="P274" s="24">
        <v>38387.0</v>
      </c>
      <c r="Q274" s="24">
        <v>17440.0</v>
      </c>
      <c r="R274" s="24">
        <v>5660.0</v>
      </c>
      <c r="S274" s="24">
        <v>3189.0</v>
      </c>
      <c r="T274" s="24">
        <v>1160.0</v>
      </c>
      <c r="U274" s="24">
        <v>24.6071</v>
      </c>
      <c r="V274" s="24">
        <v>11.1795</v>
      </c>
      <c r="W274" s="24">
        <v>3.6282</v>
      </c>
      <c r="X274" s="24">
        <v>2.0442</v>
      </c>
      <c r="Y274" s="24">
        <v>0.7436</v>
      </c>
      <c r="Z274" s="24">
        <v>108.5</v>
      </c>
      <c r="AA274" s="24">
        <v>25.9</v>
      </c>
      <c r="AB274" s="24">
        <v>5.6</v>
      </c>
      <c r="AC274" s="24">
        <v>44.5</v>
      </c>
      <c r="AD274" s="24">
        <v>8.9</v>
      </c>
      <c r="AE274" s="24">
        <v>1.0949</v>
      </c>
      <c r="AF274" s="24">
        <v>1.651685</v>
      </c>
      <c r="AG274" s="24">
        <v>1.078652</v>
      </c>
      <c r="AH274" s="24">
        <v>1.0</v>
      </c>
      <c r="AI274" s="24">
        <v>1.03861</v>
      </c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8"/>
    </row>
    <row r="275">
      <c r="A275" s="51" t="s">
        <v>38</v>
      </c>
      <c r="B275" s="51" t="s">
        <v>107</v>
      </c>
      <c r="C275" s="24">
        <v>1984.0</v>
      </c>
      <c r="D275" s="24">
        <v>0.05128</v>
      </c>
      <c r="E275" s="52">
        <v>21.5</v>
      </c>
      <c r="F275" s="53">
        <f t="shared" si="1"/>
        <v>1.18961908</v>
      </c>
      <c r="G275" s="52">
        <v>2.6</v>
      </c>
      <c r="H275" s="54">
        <f t="shared" si="2"/>
        <v>0.1368902575</v>
      </c>
      <c r="I275" s="52">
        <v>7.3</v>
      </c>
      <c r="J275" s="54">
        <f t="shared" si="3"/>
        <v>0.6398669479</v>
      </c>
      <c r="K275" s="55">
        <v>1.03125</v>
      </c>
      <c r="L275" s="54">
        <f t="shared" si="4"/>
        <v>0.05972613009</v>
      </c>
      <c r="M275" s="55">
        <v>2.68125</v>
      </c>
      <c r="N275" s="56">
        <f t="shared" si="5"/>
        <v>0.1452772387</v>
      </c>
      <c r="O275" s="57">
        <v>0.608</v>
      </c>
      <c r="P275" s="24">
        <v>38387.0</v>
      </c>
      <c r="Q275" s="24">
        <v>17440.0</v>
      </c>
      <c r="R275" s="24">
        <v>5660.0</v>
      </c>
      <c r="S275" s="24">
        <v>3189.0</v>
      </c>
      <c r="T275" s="24">
        <v>1160.0</v>
      </c>
      <c r="U275" s="24">
        <v>24.6071</v>
      </c>
      <c r="V275" s="24">
        <v>11.1795</v>
      </c>
      <c r="W275" s="24">
        <v>3.6282</v>
      </c>
      <c r="X275" s="24">
        <v>2.0442</v>
      </c>
      <c r="Y275" s="24">
        <v>0.7436</v>
      </c>
      <c r="Z275" s="24">
        <v>110.1</v>
      </c>
      <c r="AA275" s="24">
        <v>26.2</v>
      </c>
      <c r="AB275" s="24">
        <v>5.3</v>
      </c>
      <c r="AC275" s="24">
        <v>43.0</v>
      </c>
      <c r="AD275" s="24">
        <v>8.5</v>
      </c>
      <c r="AE275" s="24">
        <v>1.079</v>
      </c>
      <c r="AF275" s="24">
        <v>1.709302</v>
      </c>
      <c r="AG275" s="24">
        <v>1.129412</v>
      </c>
      <c r="AH275" s="24">
        <v>1.056604</v>
      </c>
      <c r="AI275" s="24">
        <v>1.026718</v>
      </c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8"/>
    </row>
    <row r="276">
      <c r="A276" s="51" t="s">
        <v>38</v>
      </c>
      <c r="B276" s="51" t="s">
        <v>107</v>
      </c>
      <c r="C276" s="24">
        <v>1985.0</v>
      </c>
      <c r="D276" s="24">
        <v>0.05064</v>
      </c>
      <c r="E276" s="52">
        <v>22.0</v>
      </c>
      <c r="F276" s="53">
        <f t="shared" si="1"/>
        <v>1.194516576</v>
      </c>
      <c r="G276" s="52">
        <v>3.2</v>
      </c>
      <c r="H276" s="54">
        <f t="shared" si="2"/>
        <v>0.1657449631</v>
      </c>
      <c r="I276" s="52">
        <v>7.9</v>
      </c>
      <c r="J276" s="54">
        <f t="shared" si="3"/>
        <v>0.6759566207</v>
      </c>
      <c r="K276" s="55">
        <v>1.196202532</v>
      </c>
      <c r="L276" s="54">
        <f t="shared" si="4"/>
        <v>0.06841491822</v>
      </c>
      <c r="M276" s="55">
        <v>3.075949367</v>
      </c>
      <c r="N276" s="56">
        <f t="shared" si="5"/>
        <v>0.1645830589</v>
      </c>
      <c r="O276" s="57">
        <v>0.628</v>
      </c>
      <c r="P276" s="24">
        <v>38387.0</v>
      </c>
      <c r="Q276" s="24">
        <v>17440.0</v>
      </c>
      <c r="R276" s="24">
        <v>5660.0</v>
      </c>
      <c r="S276" s="24">
        <v>3189.0</v>
      </c>
      <c r="T276" s="24">
        <v>1160.0</v>
      </c>
      <c r="U276" s="24">
        <v>24.6071</v>
      </c>
      <c r="V276" s="24">
        <v>11.1795</v>
      </c>
      <c r="W276" s="24">
        <v>3.6282</v>
      </c>
      <c r="X276" s="24">
        <v>2.0442</v>
      </c>
      <c r="Y276" s="24">
        <v>0.7436</v>
      </c>
      <c r="Z276" s="24">
        <v>110.8</v>
      </c>
      <c r="AA276" s="24">
        <v>26.3</v>
      </c>
      <c r="AB276" s="24">
        <v>5.3</v>
      </c>
      <c r="AC276" s="24">
        <v>43.5</v>
      </c>
      <c r="AD276" s="24">
        <v>8.5</v>
      </c>
      <c r="AE276" s="24">
        <v>1.0722</v>
      </c>
      <c r="AF276" s="24">
        <v>1.689655</v>
      </c>
      <c r="AG276" s="24">
        <v>1.129412</v>
      </c>
      <c r="AH276" s="24">
        <v>1.056604</v>
      </c>
      <c r="AI276" s="24">
        <v>1.022814</v>
      </c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</row>
    <row r="277">
      <c r="A277" s="51" t="s">
        <v>38</v>
      </c>
      <c r="B277" s="51" t="s">
        <v>107</v>
      </c>
      <c r="C277" s="24">
        <v>1986.0</v>
      </c>
      <c r="D277" s="24">
        <v>0.05064</v>
      </c>
      <c r="E277" s="52">
        <v>23.4</v>
      </c>
      <c r="F277" s="53">
        <f t="shared" si="1"/>
        <v>1.277404128</v>
      </c>
      <c r="G277" s="52">
        <v>3.5</v>
      </c>
      <c r="H277" s="54">
        <f t="shared" si="2"/>
        <v>0.1833751626</v>
      </c>
      <c r="I277" s="52">
        <v>6.1</v>
      </c>
      <c r="J277" s="54">
        <f t="shared" si="3"/>
        <v>0.5207441851</v>
      </c>
      <c r="K277" s="55">
        <v>1.272151899</v>
      </c>
      <c r="L277" s="54">
        <f t="shared" si="4"/>
        <v>0.07027829105</v>
      </c>
      <c r="M277" s="55">
        <v>2.46835443</v>
      </c>
      <c r="N277" s="56">
        <f t="shared" si="5"/>
        <v>0.132072825</v>
      </c>
      <c r="O277" s="57">
        <v>0.603</v>
      </c>
      <c r="P277" s="24">
        <v>38387.0</v>
      </c>
      <c r="Q277" s="24">
        <v>17440.0</v>
      </c>
      <c r="R277" s="24">
        <v>5660.0</v>
      </c>
      <c r="S277" s="24">
        <v>3189.0</v>
      </c>
      <c r="T277" s="24">
        <v>1160.0</v>
      </c>
      <c r="U277" s="24">
        <v>24.6071</v>
      </c>
      <c r="V277" s="24">
        <v>11.1795</v>
      </c>
      <c r="W277" s="24">
        <v>3.6282</v>
      </c>
      <c r="X277" s="24">
        <v>2.0442</v>
      </c>
      <c r="Y277" s="24">
        <v>0.7436</v>
      </c>
      <c r="Z277" s="24">
        <v>110.2</v>
      </c>
      <c r="AA277" s="24">
        <v>26.0</v>
      </c>
      <c r="AB277" s="24">
        <v>5.3</v>
      </c>
      <c r="AC277" s="24">
        <v>43.6</v>
      </c>
      <c r="AD277" s="24">
        <v>8.8</v>
      </c>
      <c r="AE277" s="24">
        <v>1.078</v>
      </c>
      <c r="AF277" s="24">
        <v>1.68578</v>
      </c>
      <c r="AG277" s="24">
        <v>1.090909</v>
      </c>
      <c r="AH277" s="24">
        <v>1.056604</v>
      </c>
      <c r="AI277" s="24">
        <v>1.034615</v>
      </c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</row>
    <row r="278">
      <c r="A278" s="51" t="s">
        <v>38</v>
      </c>
      <c r="B278" s="51" t="s">
        <v>107</v>
      </c>
      <c r="C278" s="24">
        <v>1987.0</v>
      </c>
      <c r="D278" s="24">
        <v>0.05</v>
      </c>
      <c r="E278" s="52">
        <v>17.5</v>
      </c>
      <c r="F278" s="53">
        <f t="shared" si="1"/>
        <v>0.945875</v>
      </c>
      <c r="G278" s="52">
        <v>2.6</v>
      </c>
      <c r="H278" s="54">
        <f t="shared" si="2"/>
        <v>0.13449995</v>
      </c>
      <c r="I278" s="52">
        <v>6.7</v>
      </c>
      <c r="J278" s="54">
        <f t="shared" si="3"/>
        <v>0.559602425</v>
      </c>
      <c r="K278" s="55">
        <v>0.942307692</v>
      </c>
      <c r="L278" s="54">
        <f t="shared" si="4"/>
        <v>0.05259391441</v>
      </c>
      <c r="M278" s="55">
        <v>1.865384615</v>
      </c>
      <c r="N278" s="56">
        <f t="shared" si="5"/>
        <v>0.0949650519</v>
      </c>
      <c r="O278" s="57">
        <v>0.597</v>
      </c>
      <c r="P278" s="24">
        <v>38387.0</v>
      </c>
      <c r="Q278" s="24">
        <v>17440.0</v>
      </c>
      <c r="R278" s="24">
        <v>5660.0</v>
      </c>
      <c r="S278" s="24">
        <v>3189.0</v>
      </c>
      <c r="T278" s="24">
        <v>1160.0</v>
      </c>
      <c r="U278" s="24">
        <v>24.6071</v>
      </c>
      <c r="V278" s="24">
        <v>11.1795</v>
      </c>
      <c r="W278" s="24">
        <v>3.6282</v>
      </c>
      <c r="X278" s="24">
        <v>2.0442</v>
      </c>
      <c r="Y278" s="24">
        <v>0.7436</v>
      </c>
      <c r="Z278" s="24">
        <v>109.9</v>
      </c>
      <c r="AA278" s="24">
        <v>26.0</v>
      </c>
      <c r="AB278" s="24">
        <v>5.5</v>
      </c>
      <c r="AC278" s="24">
        <v>44.0</v>
      </c>
      <c r="AD278" s="24">
        <v>8.6</v>
      </c>
      <c r="AE278" s="24">
        <v>1.081</v>
      </c>
      <c r="AF278" s="24">
        <v>1.670455</v>
      </c>
      <c r="AG278" s="24">
        <v>1.116279</v>
      </c>
      <c r="AH278" s="24">
        <v>1.018182</v>
      </c>
      <c r="AI278" s="24">
        <v>1.034615</v>
      </c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</row>
    <row r="279">
      <c r="A279" s="51" t="s">
        <v>38</v>
      </c>
      <c r="B279" s="51" t="s">
        <v>107</v>
      </c>
      <c r="C279" s="24">
        <v>1988.0</v>
      </c>
      <c r="D279" s="24">
        <v>0.05128</v>
      </c>
      <c r="E279" s="52">
        <v>14.6</v>
      </c>
      <c r="F279" s="53">
        <f t="shared" si="1"/>
        <v>0.822059424</v>
      </c>
      <c r="G279" s="52">
        <v>1.7</v>
      </c>
      <c r="H279" s="54">
        <f t="shared" si="2"/>
        <v>0.09089283594</v>
      </c>
      <c r="I279" s="52">
        <v>6.0</v>
      </c>
      <c r="J279" s="54">
        <f t="shared" si="3"/>
        <v>0.5210708486</v>
      </c>
      <c r="K279" s="55">
        <v>0.9</v>
      </c>
      <c r="L279" s="54">
        <f t="shared" si="4"/>
        <v>0.05212462262</v>
      </c>
      <c r="M279" s="55">
        <v>1.725</v>
      </c>
      <c r="N279" s="56">
        <f t="shared" si="5"/>
        <v>0.09173421895</v>
      </c>
      <c r="O279" s="57">
        <v>0.57</v>
      </c>
      <c r="P279" s="24">
        <v>38387.0</v>
      </c>
      <c r="Q279" s="24">
        <v>17440.0</v>
      </c>
      <c r="R279" s="24">
        <v>5660.0</v>
      </c>
      <c r="S279" s="24">
        <v>3189.0</v>
      </c>
      <c r="T279" s="24">
        <v>1160.0</v>
      </c>
      <c r="U279" s="24">
        <v>24.6071</v>
      </c>
      <c r="V279" s="24">
        <v>11.1795</v>
      </c>
      <c r="W279" s="24">
        <v>3.6282</v>
      </c>
      <c r="X279" s="24">
        <v>2.0442</v>
      </c>
      <c r="Y279" s="24">
        <v>0.7436</v>
      </c>
      <c r="Z279" s="24">
        <v>108.2</v>
      </c>
      <c r="AA279" s="24">
        <v>25.8</v>
      </c>
      <c r="AB279" s="24">
        <v>5.4</v>
      </c>
      <c r="AC279" s="24">
        <v>43.4</v>
      </c>
      <c r="AD279" s="24">
        <v>8.5</v>
      </c>
      <c r="AE279" s="24">
        <v>1.098</v>
      </c>
      <c r="AF279" s="24">
        <v>1.693548</v>
      </c>
      <c r="AG279" s="24">
        <v>1.129412</v>
      </c>
      <c r="AH279" s="24">
        <v>1.037037</v>
      </c>
      <c r="AI279" s="24">
        <v>1.042636</v>
      </c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</row>
    <row r="280">
      <c r="A280" s="51" t="s">
        <v>38</v>
      </c>
      <c r="B280" s="51" t="s">
        <v>107</v>
      </c>
      <c r="C280" s="24">
        <v>1989.0</v>
      </c>
      <c r="D280" s="24">
        <v>0.04744</v>
      </c>
      <c r="E280" s="52">
        <v>10.1</v>
      </c>
      <c r="F280" s="53">
        <f t="shared" si="1"/>
        <v>0.5212607576</v>
      </c>
      <c r="G280" s="52">
        <v>1.0</v>
      </c>
      <c r="H280" s="54">
        <f t="shared" si="2"/>
        <v>0.04984905064</v>
      </c>
      <c r="I280" s="52">
        <v>4.5</v>
      </c>
      <c r="J280" s="54">
        <f t="shared" si="3"/>
        <v>0.3574210248</v>
      </c>
      <c r="K280" s="55">
        <v>0.77027027</v>
      </c>
      <c r="L280" s="54">
        <f t="shared" si="4"/>
        <v>0.03854940101</v>
      </c>
      <c r="M280" s="55">
        <v>1.722972973</v>
      </c>
      <c r="N280" s="56">
        <f t="shared" si="5"/>
        <v>0.08636452641</v>
      </c>
      <c r="O280" s="57">
        <v>0.511</v>
      </c>
      <c r="P280" s="24">
        <v>38387.0</v>
      </c>
      <c r="Q280" s="24">
        <v>17440.0</v>
      </c>
      <c r="R280" s="24">
        <v>5660.0</v>
      </c>
      <c r="S280" s="24">
        <v>3189.0</v>
      </c>
      <c r="T280" s="24">
        <v>1160.0</v>
      </c>
      <c r="U280" s="24">
        <v>24.6071</v>
      </c>
      <c r="V280" s="24">
        <v>11.1795</v>
      </c>
      <c r="W280" s="24">
        <v>3.6282</v>
      </c>
      <c r="X280" s="24">
        <v>2.0442</v>
      </c>
      <c r="Y280" s="24">
        <v>0.7436</v>
      </c>
      <c r="Z280" s="24">
        <v>109.2</v>
      </c>
      <c r="AA280" s="24">
        <v>25.6</v>
      </c>
      <c r="AB280" s="24">
        <v>5.3</v>
      </c>
      <c r="AC280" s="24">
        <v>43.9</v>
      </c>
      <c r="AD280" s="24">
        <v>9.1</v>
      </c>
      <c r="AE280" s="24">
        <v>1.0879</v>
      </c>
      <c r="AF280" s="24">
        <v>1.67426</v>
      </c>
      <c r="AG280" s="24">
        <v>1.054945</v>
      </c>
      <c r="AH280" s="24">
        <v>1.056604</v>
      </c>
      <c r="AI280" s="24">
        <v>1.050781</v>
      </c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</row>
    <row r="281">
      <c r="A281" s="51" t="s">
        <v>39</v>
      </c>
      <c r="B281" s="51" t="s">
        <v>111</v>
      </c>
      <c r="C281" s="24">
        <v>1986.0</v>
      </c>
      <c r="D281" s="24">
        <v>0.05488</v>
      </c>
      <c r="E281" s="52">
        <v>14.9</v>
      </c>
      <c r="F281" s="53">
        <f t="shared" si="1"/>
        <v>0.881493536</v>
      </c>
      <c r="G281" s="52">
        <v>2.9</v>
      </c>
      <c r="H281" s="54">
        <f t="shared" si="2"/>
        <v>0.1646610465</v>
      </c>
      <c r="I281" s="52">
        <v>8.9</v>
      </c>
      <c r="J281" s="54">
        <f t="shared" si="3"/>
        <v>0.823388897</v>
      </c>
      <c r="K281" s="55">
        <v>1.944444444</v>
      </c>
      <c r="L281" s="54">
        <f t="shared" si="4"/>
        <v>0.1164121115</v>
      </c>
      <c r="M281" s="55">
        <v>0.814814815</v>
      </c>
      <c r="N281" s="56">
        <f t="shared" si="5"/>
        <v>0.04724820021</v>
      </c>
      <c r="O281" s="57">
        <v>0.504</v>
      </c>
      <c r="P281" s="24">
        <v>36928.0</v>
      </c>
      <c r="Q281" s="24">
        <v>14968.0</v>
      </c>
      <c r="R281" s="24">
        <v>5248.0</v>
      </c>
      <c r="S281" s="24">
        <v>1145.0</v>
      </c>
      <c r="T281" s="24">
        <v>2085.0</v>
      </c>
      <c r="U281" s="24">
        <v>25.019</v>
      </c>
      <c r="V281" s="24">
        <v>10.1409</v>
      </c>
      <c r="W281" s="24">
        <v>3.5556</v>
      </c>
      <c r="X281" s="24">
        <v>0.7757</v>
      </c>
      <c r="Y281" s="24">
        <v>1.4126</v>
      </c>
      <c r="Z281" s="24">
        <v>110.2</v>
      </c>
      <c r="AA281" s="24">
        <v>26.0</v>
      </c>
      <c r="AB281" s="24">
        <v>5.3</v>
      </c>
      <c r="AC281" s="24">
        <v>43.6</v>
      </c>
      <c r="AD281" s="24">
        <v>8.8</v>
      </c>
      <c r="AE281" s="24">
        <v>1.078</v>
      </c>
      <c r="AF281" s="24">
        <v>1.68578</v>
      </c>
      <c r="AG281" s="24">
        <v>1.090909</v>
      </c>
      <c r="AH281" s="24">
        <v>1.056604</v>
      </c>
      <c r="AI281" s="24">
        <v>1.034615</v>
      </c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</row>
    <row r="282">
      <c r="A282" s="51" t="s">
        <v>39</v>
      </c>
      <c r="B282" s="51" t="s">
        <v>111</v>
      </c>
      <c r="C282" s="24">
        <v>1987.0</v>
      </c>
      <c r="D282" s="24">
        <v>0.05556</v>
      </c>
      <c r="E282" s="52">
        <v>21.7</v>
      </c>
      <c r="F282" s="53">
        <f t="shared" si="1"/>
        <v>1.303309812</v>
      </c>
      <c r="G282" s="52">
        <v>1.9</v>
      </c>
      <c r="H282" s="54">
        <f t="shared" si="2"/>
        <v>0.1092180979</v>
      </c>
      <c r="I282" s="52">
        <v>10.4</v>
      </c>
      <c r="J282" s="54">
        <f t="shared" si="3"/>
        <v>0.9652289899</v>
      </c>
      <c r="K282" s="55">
        <v>1.902439024</v>
      </c>
      <c r="L282" s="54">
        <f t="shared" si="4"/>
        <v>0.1179901457</v>
      </c>
      <c r="M282" s="55">
        <v>1.097560976</v>
      </c>
      <c r="N282" s="56">
        <f t="shared" si="5"/>
        <v>0.06208923506</v>
      </c>
      <c r="O282" s="57">
        <v>0.536</v>
      </c>
      <c r="P282" s="24">
        <v>36928.0</v>
      </c>
      <c r="Q282" s="24">
        <v>14968.0</v>
      </c>
      <c r="R282" s="24">
        <v>5248.0</v>
      </c>
      <c r="S282" s="24">
        <v>1145.0</v>
      </c>
      <c r="T282" s="24">
        <v>2085.0</v>
      </c>
      <c r="U282" s="24">
        <v>25.019</v>
      </c>
      <c r="V282" s="24">
        <v>10.1409</v>
      </c>
      <c r="W282" s="24">
        <v>3.5556</v>
      </c>
      <c r="X282" s="24">
        <v>0.7757</v>
      </c>
      <c r="Y282" s="24">
        <v>1.4126</v>
      </c>
      <c r="Z282" s="24">
        <v>109.9</v>
      </c>
      <c r="AA282" s="24">
        <v>26.0</v>
      </c>
      <c r="AB282" s="24">
        <v>5.5</v>
      </c>
      <c r="AC282" s="24">
        <v>44.0</v>
      </c>
      <c r="AD282" s="24">
        <v>8.6</v>
      </c>
      <c r="AE282" s="24">
        <v>1.081</v>
      </c>
      <c r="AF282" s="24">
        <v>1.670455</v>
      </c>
      <c r="AG282" s="24">
        <v>1.116279</v>
      </c>
      <c r="AH282" s="24">
        <v>1.018182</v>
      </c>
      <c r="AI282" s="24">
        <v>1.034615</v>
      </c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</row>
    <row r="283">
      <c r="A283" s="51" t="s">
        <v>39</v>
      </c>
      <c r="B283" s="51" t="s">
        <v>111</v>
      </c>
      <c r="C283" s="24">
        <v>1988.0</v>
      </c>
      <c r="D283" s="24">
        <v>0.05556</v>
      </c>
      <c r="E283" s="52">
        <v>27.7</v>
      </c>
      <c r="F283" s="53">
        <f t="shared" si="1"/>
        <v>1.689835176</v>
      </c>
      <c r="G283" s="52">
        <v>2.4</v>
      </c>
      <c r="H283" s="54">
        <f t="shared" si="2"/>
        <v>0.1390292548</v>
      </c>
      <c r="I283" s="52">
        <v>12.0</v>
      </c>
      <c r="J283" s="54">
        <f t="shared" si="3"/>
        <v>1.129122323</v>
      </c>
      <c r="K283" s="55">
        <v>2.140243902</v>
      </c>
      <c r="L283" s="54">
        <f t="shared" si="4"/>
        <v>0.1343005846</v>
      </c>
      <c r="M283" s="55">
        <v>0.914634146</v>
      </c>
      <c r="N283" s="56">
        <f t="shared" si="5"/>
        <v>0.05269918509</v>
      </c>
      <c r="O283" s="57">
        <v>0.568</v>
      </c>
      <c r="P283" s="24">
        <v>36928.0</v>
      </c>
      <c r="Q283" s="24">
        <v>14968.0</v>
      </c>
      <c r="R283" s="24">
        <v>5248.0</v>
      </c>
      <c r="S283" s="24">
        <v>1145.0</v>
      </c>
      <c r="T283" s="24">
        <v>2085.0</v>
      </c>
      <c r="U283" s="24">
        <v>25.019</v>
      </c>
      <c r="V283" s="24">
        <v>10.1409</v>
      </c>
      <c r="W283" s="24">
        <v>3.5556</v>
      </c>
      <c r="X283" s="24">
        <v>0.7757</v>
      </c>
      <c r="Y283" s="24">
        <v>1.4126</v>
      </c>
      <c r="Z283" s="24">
        <v>108.2</v>
      </c>
      <c r="AA283" s="24">
        <v>25.8</v>
      </c>
      <c r="AB283" s="24">
        <v>5.4</v>
      </c>
      <c r="AC283" s="24">
        <v>43.4</v>
      </c>
      <c r="AD283" s="24">
        <v>8.5</v>
      </c>
      <c r="AE283" s="24">
        <v>1.098</v>
      </c>
      <c r="AF283" s="24">
        <v>1.693548</v>
      </c>
      <c r="AG283" s="24">
        <v>1.129412</v>
      </c>
      <c r="AH283" s="24">
        <v>1.037037</v>
      </c>
      <c r="AI283" s="24">
        <v>1.042636</v>
      </c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</row>
    <row r="284">
      <c r="A284" s="51" t="s">
        <v>39</v>
      </c>
      <c r="B284" s="51" t="s">
        <v>111</v>
      </c>
      <c r="C284" s="24">
        <v>1989.0</v>
      </c>
      <c r="D284" s="24">
        <v>0.0542</v>
      </c>
      <c r="E284" s="52">
        <v>29.1</v>
      </c>
      <c r="F284" s="53">
        <f t="shared" si="1"/>
        <v>1.715857638</v>
      </c>
      <c r="G284" s="52">
        <v>2.7</v>
      </c>
      <c r="H284" s="54">
        <f t="shared" si="2"/>
        <v>0.1537712915</v>
      </c>
      <c r="I284" s="52">
        <v>10.7</v>
      </c>
      <c r="J284" s="54">
        <f t="shared" si="3"/>
        <v>0.9709703444</v>
      </c>
      <c r="K284" s="55">
        <v>2.7</v>
      </c>
      <c r="L284" s="54">
        <f t="shared" si="4"/>
        <v>0.1543806513</v>
      </c>
      <c r="M284" s="55">
        <v>1.3125</v>
      </c>
      <c r="N284" s="56">
        <f t="shared" si="5"/>
        <v>0.07516416705</v>
      </c>
      <c r="O284" s="57">
        <v>0.592</v>
      </c>
      <c r="P284" s="24">
        <v>36928.0</v>
      </c>
      <c r="Q284" s="24">
        <v>14968.0</v>
      </c>
      <c r="R284" s="24">
        <v>5248.0</v>
      </c>
      <c r="S284" s="24">
        <v>1145.0</v>
      </c>
      <c r="T284" s="24">
        <v>2085.0</v>
      </c>
      <c r="U284" s="24">
        <v>25.019</v>
      </c>
      <c r="V284" s="24">
        <v>10.1409</v>
      </c>
      <c r="W284" s="24">
        <v>3.5556</v>
      </c>
      <c r="X284" s="24">
        <v>0.7757</v>
      </c>
      <c r="Y284" s="24">
        <v>1.4126</v>
      </c>
      <c r="Z284" s="24">
        <v>109.2</v>
      </c>
      <c r="AA284" s="24">
        <v>25.6</v>
      </c>
      <c r="AB284" s="24">
        <v>5.3</v>
      </c>
      <c r="AC284" s="24">
        <v>43.9</v>
      </c>
      <c r="AD284" s="24">
        <v>9.1</v>
      </c>
      <c r="AE284" s="24">
        <v>1.0879</v>
      </c>
      <c r="AF284" s="24">
        <v>1.67426</v>
      </c>
      <c r="AG284" s="24">
        <v>1.054945</v>
      </c>
      <c r="AH284" s="24">
        <v>1.056604</v>
      </c>
      <c r="AI284" s="24">
        <v>1.050781</v>
      </c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</row>
    <row r="285">
      <c r="A285" s="51" t="s">
        <v>39</v>
      </c>
      <c r="B285" s="51" t="s">
        <v>111</v>
      </c>
      <c r="C285" s="24">
        <v>1990.0</v>
      </c>
      <c r="D285" s="24">
        <v>0.05556</v>
      </c>
      <c r="E285" s="52">
        <v>31.0</v>
      </c>
      <c r="F285" s="53">
        <f t="shared" si="1"/>
        <v>1.912336308</v>
      </c>
      <c r="G285" s="52">
        <v>2.8</v>
      </c>
      <c r="H285" s="54">
        <f t="shared" si="2"/>
        <v>0.1680633773</v>
      </c>
      <c r="I285" s="52">
        <v>11.1</v>
      </c>
      <c r="J285" s="54">
        <f t="shared" si="3"/>
        <v>1.051707997</v>
      </c>
      <c r="K285" s="55">
        <v>2.213414634</v>
      </c>
      <c r="L285" s="54">
        <f t="shared" si="4"/>
        <v>0.1388920576</v>
      </c>
      <c r="M285" s="55">
        <v>0.914634146</v>
      </c>
      <c r="N285" s="56">
        <f t="shared" si="5"/>
        <v>0.05579912819</v>
      </c>
      <c r="O285" s="57">
        <v>0.626</v>
      </c>
      <c r="P285" s="24">
        <v>36928.0</v>
      </c>
      <c r="Q285" s="24">
        <v>14968.0</v>
      </c>
      <c r="R285" s="24">
        <v>5248.0</v>
      </c>
      <c r="S285" s="24">
        <v>1145.0</v>
      </c>
      <c r="T285" s="24">
        <v>2085.0</v>
      </c>
      <c r="U285" s="24">
        <v>25.019</v>
      </c>
      <c r="V285" s="24">
        <v>10.1409</v>
      </c>
      <c r="W285" s="24">
        <v>3.5556</v>
      </c>
      <c r="X285" s="24">
        <v>0.7757</v>
      </c>
      <c r="Y285" s="24">
        <v>1.4126</v>
      </c>
      <c r="Z285" s="24">
        <v>107.0</v>
      </c>
      <c r="AA285" s="24">
        <v>24.9</v>
      </c>
      <c r="AB285" s="24">
        <v>5.1</v>
      </c>
      <c r="AC285" s="24">
        <v>43.1</v>
      </c>
      <c r="AD285" s="24">
        <v>8.5</v>
      </c>
      <c r="AE285" s="24">
        <v>1.1103</v>
      </c>
      <c r="AF285" s="24">
        <v>1.705336</v>
      </c>
      <c r="AG285" s="24">
        <v>1.129412</v>
      </c>
      <c r="AH285" s="24">
        <v>1.098039</v>
      </c>
      <c r="AI285" s="24">
        <v>1.080321</v>
      </c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</row>
    <row r="286">
      <c r="A286" s="51" t="s">
        <v>39</v>
      </c>
      <c r="B286" s="51" t="s">
        <v>111</v>
      </c>
      <c r="C286" s="24">
        <v>1991.0</v>
      </c>
      <c r="D286" s="24">
        <v>0.05556</v>
      </c>
      <c r="E286" s="52">
        <v>29.0</v>
      </c>
      <c r="F286" s="53">
        <f t="shared" si="1"/>
        <v>1.800721824</v>
      </c>
      <c r="G286" s="52">
        <v>3.3</v>
      </c>
      <c r="H286" s="54">
        <f t="shared" si="2"/>
        <v>0.199678623</v>
      </c>
      <c r="I286" s="52">
        <v>11.8</v>
      </c>
      <c r="J286" s="54">
        <f t="shared" si="3"/>
        <v>1.112868356</v>
      </c>
      <c r="K286" s="55">
        <v>1.62804878</v>
      </c>
      <c r="L286" s="54">
        <f t="shared" si="4"/>
        <v>0.1009723363</v>
      </c>
      <c r="M286" s="55">
        <v>1.445121951</v>
      </c>
      <c r="N286" s="56">
        <f t="shared" si="5"/>
        <v>0.08483576598</v>
      </c>
      <c r="O286" s="57">
        <v>0.596</v>
      </c>
      <c r="P286" s="24">
        <v>36928.0</v>
      </c>
      <c r="Q286" s="24">
        <v>14968.0</v>
      </c>
      <c r="R286" s="24">
        <v>5248.0</v>
      </c>
      <c r="S286" s="24">
        <v>1145.0</v>
      </c>
      <c r="T286" s="24">
        <v>2085.0</v>
      </c>
      <c r="U286" s="24">
        <v>25.019</v>
      </c>
      <c r="V286" s="24">
        <v>10.1409</v>
      </c>
      <c r="W286" s="24">
        <v>3.5556</v>
      </c>
      <c r="X286" s="24">
        <v>0.7757</v>
      </c>
      <c r="Y286" s="24">
        <v>1.4126</v>
      </c>
      <c r="Z286" s="24">
        <v>106.3</v>
      </c>
      <c r="AA286" s="24">
        <v>24.7</v>
      </c>
      <c r="AB286" s="24">
        <v>5.3</v>
      </c>
      <c r="AC286" s="24">
        <v>43.3</v>
      </c>
      <c r="AD286" s="24">
        <v>8.6</v>
      </c>
      <c r="AE286" s="24">
        <v>1.1176</v>
      </c>
      <c r="AF286" s="24">
        <v>1.69746</v>
      </c>
      <c r="AG286" s="24">
        <v>1.116279</v>
      </c>
      <c r="AH286" s="24">
        <v>1.056604</v>
      </c>
      <c r="AI286" s="24">
        <v>1.089069</v>
      </c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</row>
    <row r="287">
      <c r="A287" s="51" t="s">
        <v>39</v>
      </c>
      <c r="B287" s="51" t="s">
        <v>111</v>
      </c>
      <c r="C287" s="24">
        <v>1992.0</v>
      </c>
      <c r="D287" s="24">
        <v>0.05488</v>
      </c>
      <c r="E287" s="52">
        <v>28.0</v>
      </c>
      <c r="F287" s="53">
        <f t="shared" si="1"/>
        <v>1.733637248</v>
      </c>
      <c r="G287" s="52">
        <v>3.0</v>
      </c>
      <c r="H287" s="54">
        <f t="shared" si="2"/>
        <v>0.1807679698</v>
      </c>
      <c r="I287" s="52">
        <v>11.2</v>
      </c>
      <c r="J287" s="54">
        <f t="shared" si="3"/>
        <v>1.033803449</v>
      </c>
      <c r="K287" s="55">
        <v>2.0</v>
      </c>
      <c r="L287" s="54">
        <f t="shared" si="4"/>
        <v>0.122522783</v>
      </c>
      <c r="M287" s="55">
        <v>0.944444444</v>
      </c>
      <c r="N287" s="56">
        <f t="shared" si="5"/>
        <v>0.05277350435</v>
      </c>
      <c r="O287" s="57">
        <v>0.599</v>
      </c>
      <c r="P287" s="24">
        <v>36928.0</v>
      </c>
      <c r="Q287" s="24">
        <v>14968.0</v>
      </c>
      <c r="R287" s="24">
        <v>5248.0</v>
      </c>
      <c r="S287" s="24">
        <v>1145.0</v>
      </c>
      <c r="T287" s="24">
        <v>2085.0</v>
      </c>
      <c r="U287" s="24">
        <v>25.019</v>
      </c>
      <c r="V287" s="24">
        <v>10.1409</v>
      </c>
      <c r="W287" s="24">
        <v>3.5556</v>
      </c>
      <c r="X287" s="24">
        <v>0.7757</v>
      </c>
      <c r="Y287" s="24">
        <v>1.4126</v>
      </c>
      <c r="Z287" s="24">
        <v>105.3</v>
      </c>
      <c r="AA287" s="24">
        <v>24.5</v>
      </c>
      <c r="AB287" s="24">
        <v>5.5</v>
      </c>
      <c r="AC287" s="24">
        <v>43.7</v>
      </c>
      <c r="AD287" s="24">
        <v>8.6</v>
      </c>
      <c r="AE287" s="24">
        <v>1.1282</v>
      </c>
      <c r="AF287" s="24">
        <v>1.681922</v>
      </c>
      <c r="AG287" s="24">
        <v>1.116279</v>
      </c>
      <c r="AH287" s="24">
        <v>1.018182</v>
      </c>
      <c r="AI287" s="24">
        <v>1.097959</v>
      </c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8"/>
    </row>
    <row r="288">
      <c r="A288" s="51" t="s">
        <v>39</v>
      </c>
      <c r="B288" s="51" t="s">
        <v>111</v>
      </c>
      <c r="C288" s="24">
        <v>1993.0</v>
      </c>
      <c r="D288" s="24">
        <v>0.05556</v>
      </c>
      <c r="E288" s="52">
        <v>27.0</v>
      </c>
      <c r="F288" s="53">
        <f t="shared" si="1"/>
        <v>1.692435384</v>
      </c>
      <c r="G288" s="52">
        <v>3.8</v>
      </c>
      <c r="H288" s="54">
        <f t="shared" si="2"/>
        <v>0.2299329598</v>
      </c>
      <c r="I288" s="52">
        <v>11.2</v>
      </c>
      <c r="J288" s="54">
        <f t="shared" si="3"/>
        <v>1.061182843</v>
      </c>
      <c r="K288" s="55">
        <v>2.268292683</v>
      </c>
      <c r="L288" s="54">
        <f t="shared" si="4"/>
        <v>0.1406805584</v>
      </c>
      <c r="M288" s="55">
        <v>1.554878049</v>
      </c>
      <c r="N288" s="56">
        <f t="shared" si="5"/>
        <v>0.09303432733</v>
      </c>
      <c r="O288" s="57">
        <v>0.612</v>
      </c>
      <c r="P288" s="24">
        <v>36928.0</v>
      </c>
      <c r="Q288" s="24">
        <v>14968.0</v>
      </c>
      <c r="R288" s="24">
        <v>5248.0</v>
      </c>
      <c r="S288" s="24">
        <v>1145.0</v>
      </c>
      <c r="T288" s="24">
        <v>2085.0</v>
      </c>
      <c r="U288" s="24">
        <v>25.019</v>
      </c>
      <c r="V288" s="24">
        <v>10.1409</v>
      </c>
      <c r="W288" s="24">
        <v>3.5556</v>
      </c>
      <c r="X288" s="24">
        <v>0.7757</v>
      </c>
      <c r="Y288" s="24">
        <v>1.4126</v>
      </c>
      <c r="Z288" s="24">
        <v>105.3</v>
      </c>
      <c r="AA288" s="24">
        <v>24.7</v>
      </c>
      <c r="AB288" s="24">
        <v>5.2</v>
      </c>
      <c r="AC288" s="24">
        <v>43.1</v>
      </c>
      <c r="AD288" s="24">
        <v>8.6</v>
      </c>
      <c r="AE288" s="24">
        <v>1.1282</v>
      </c>
      <c r="AF288" s="24">
        <v>1.705336</v>
      </c>
      <c r="AG288" s="24">
        <v>1.116279</v>
      </c>
      <c r="AH288" s="24">
        <v>1.076923</v>
      </c>
      <c r="AI288" s="24">
        <v>1.089069</v>
      </c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</row>
    <row r="289">
      <c r="A289" s="51" t="s">
        <v>39</v>
      </c>
      <c r="B289" s="51" t="s">
        <v>111</v>
      </c>
      <c r="C289" s="24">
        <v>1994.0</v>
      </c>
      <c r="D289" s="24">
        <v>0.05556</v>
      </c>
      <c r="E289" s="52">
        <v>25.2</v>
      </c>
      <c r="F289" s="53">
        <f t="shared" si="1"/>
        <v>1.638691085</v>
      </c>
      <c r="G289" s="52">
        <v>4.0</v>
      </c>
      <c r="H289" s="54">
        <f t="shared" si="2"/>
        <v>0.2450104882</v>
      </c>
      <c r="I289" s="52">
        <v>11.5</v>
      </c>
      <c r="J289" s="54">
        <f t="shared" si="3"/>
        <v>1.09214142</v>
      </c>
      <c r="K289" s="55">
        <v>2.286585366</v>
      </c>
      <c r="L289" s="54">
        <f t="shared" si="4"/>
        <v>0.137034844</v>
      </c>
      <c r="M289" s="55">
        <v>2.304878049</v>
      </c>
      <c r="N289" s="56">
        <f t="shared" si="5"/>
        <v>0.1379097087</v>
      </c>
      <c r="O289" s="57">
        <v>0.55</v>
      </c>
      <c r="P289" s="24">
        <v>36928.0</v>
      </c>
      <c r="Q289" s="24">
        <v>14968.0</v>
      </c>
      <c r="R289" s="24">
        <v>5248.0</v>
      </c>
      <c r="S289" s="24">
        <v>1145.0</v>
      </c>
      <c r="T289" s="24">
        <v>2085.0</v>
      </c>
      <c r="U289" s="24">
        <v>25.019</v>
      </c>
      <c r="V289" s="24">
        <v>10.1409</v>
      </c>
      <c r="W289" s="24">
        <v>3.5556</v>
      </c>
      <c r="X289" s="24">
        <v>0.7757</v>
      </c>
      <c r="Y289" s="24">
        <v>1.4126</v>
      </c>
      <c r="Z289" s="24">
        <v>101.5</v>
      </c>
      <c r="AA289" s="24">
        <v>24.4</v>
      </c>
      <c r="AB289" s="24">
        <v>5.2</v>
      </c>
      <c r="AC289" s="24">
        <v>43.0</v>
      </c>
      <c r="AD289" s="24">
        <v>8.9</v>
      </c>
      <c r="AE289" s="24">
        <v>1.1704</v>
      </c>
      <c r="AF289" s="24">
        <v>1.709302</v>
      </c>
      <c r="AG289" s="24">
        <v>1.078652</v>
      </c>
      <c r="AH289" s="24">
        <v>1.076923</v>
      </c>
      <c r="AI289" s="24">
        <v>1.102459</v>
      </c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</row>
    <row r="290">
      <c r="A290" s="51" t="s">
        <v>39</v>
      </c>
      <c r="B290" s="51" t="s">
        <v>111</v>
      </c>
      <c r="C290" s="24">
        <v>1995.0</v>
      </c>
      <c r="D290" s="24">
        <v>0.05556</v>
      </c>
      <c r="E290" s="52">
        <v>26.7</v>
      </c>
      <c r="F290" s="53">
        <f t="shared" si="1"/>
        <v>1.738012363</v>
      </c>
      <c r="G290" s="52">
        <v>3.5</v>
      </c>
      <c r="H290" s="54">
        <f t="shared" si="2"/>
        <v>0.2235459656</v>
      </c>
      <c r="I290" s="52">
        <v>10.6</v>
      </c>
      <c r="J290" s="54">
        <f t="shared" si="3"/>
        <v>1.040548026</v>
      </c>
      <c r="K290" s="55">
        <v>2.359756098</v>
      </c>
      <c r="L290" s="54">
        <f t="shared" si="4"/>
        <v>0.1516431092</v>
      </c>
      <c r="M290" s="55">
        <v>1.554878049</v>
      </c>
      <c r="N290" s="56">
        <f t="shared" si="5"/>
        <v>0.09303432733</v>
      </c>
      <c r="O290" s="57">
        <v>0.59</v>
      </c>
      <c r="P290" s="24">
        <v>36928.0</v>
      </c>
      <c r="Q290" s="24">
        <v>14968.0</v>
      </c>
      <c r="R290" s="24">
        <v>5248.0</v>
      </c>
      <c r="S290" s="24">
        <v>1145.0</v>
      </c>
      <c r="T290" s="24">
        <v>2085.0</v>
      </c>
      <c r="U290" s="24">
        <v>25.019</v>
      </c>
      <c r="V290" s="24">
        <v>10.1409</v>
      </c>
      <c r="W290" s="24">
        <v>3.5556</v>
      </c>
      <c r="X290" s="24">
        <v>0.7757</v>
      </c>
      <c r="Y290" s="24">
        <v>1.4126</v>
      </c>
      <c r="Z290" s="24">
        <v>101.4</v>
      </c>
      <c r="AA290" s="24">
        <v>23.4</v>
      </c>
      <c r="AB290" s="24">
        <v>5.2</v>
      </c>
      <c r="AC290" s="24">
        <v>41.6</v>
      </c>
      <c r="AD290" s="24">
        <v>8.3</v>
      </c>
      <c r="AE290" s="24">
        <v>1.1716</v>
      </c>
      <c r="AF290" s="24">
        <v>1.766827</v>
      </c>
      <c r="AG290" s="24">
        <v>1.156627</v>
      </c>
      <c r="AH290" s="24">
        <v>1.076923</v>
      </c>
      <c r="AI290" s="24">
        <v>1.149573</v>
      </c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</row>
    <row r="291">
      <c r="A291" s="51" t="s">
        <v>39</v>
      </c>
      <c r="B291" s="51" t="s">
        <v>111</v>
      </c>
      <c r="C291" s="24">
        <v>1996.0</v>
      </c>
      <c r="D291" s="24">
        <v>0.05556</v>
      </c>
      <c r="E291" s="52">
        <v>25.7</v>
      </c>
      <c r="F291" s="53">
        <f t="shared" si="1"/>
        <v>1.704903048</v>
      </c>
      <c r="G291" s="52">
        <v>4.2</v>
      </c>
      <c r="H291" s="54">
        <f t="shared" si="2"/>
        <v>0.2765272537</v>
      </c>
      <c r="I291" s="52">
        <v>9.8</v>
      </c>
      <c r="J291" s="54">
        <f t="shared" si="3"/>
        <v>0.9690040586</v>
      </c>
      <c r="K291" s="55">
        <v>2.524390244</v>
      </c>
      <c r="L291" s="54">
        <f t="shared" si="4"/>
        <v>0.1683061463</v>
      </c>
      <c r="M291" s="55">
        <v>1.024390244</v>
      </c>
      <c r="N291" s="56">
        <f t="shared" si="5"/>
        <v>0.0624950236</v>
      </c>
      <c r="O291" s="57">
        <v>0.575</v>
      </c>
      <c r="P291" s="24">
        <v>36928.0</v>
      </c>
      <c r="Q291" s="24">
        <v>14968.0</v>
      </c>
      <c r="R291" s="24">
        <v>5248.0</v>
      </c>
      <c r="S291" s="24">
        <v>1145.0</v>
      </c>
      <c r="T291" s="24">
        <v>2085.0</v>
      </c>
      <c r="U291" s="24">
        <v>25.019</v>
      </c>
      <c r="V291" s="24">
        <v>10.1409</v>
      </c>
      <c r="W291" s="24">
        <v>3.5556</v>
      </c>
      <c r="X291" s="24">
        <v>0.7757</v>
      </c>
      <c r="Y291" s="24">
        <v>1.4126</v>
      </c>
      <c r="Z291" s="24">
        <v>99.5</v>
      </c>
      <c r="AA291" s="24">
        <v>22.7</v>
      </c>
      <c r="AB291" s="24">
        <v>5.1</v>
      </c>
      <c r="AC291" s="24">
        <v>41.3</v>
      </c>
      <c r="AD291" s="24">
        <v>8.0</v>
      </c>
      <c r="AE291" s="24">
        <v>1.194</v>
      </c>
      <c r="AF291" s="24">
        <v>1.779661</v>
      </c>
      <c r="AG291" s="24">
        <v>1.2</v>
      </c>
      <c r="AH291" s="24">
        <v>1.098039</v>
      </c>
      <c r="AI291" s="24">
        <v>1.185022</v>
      </c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</row>
    <row r="292">
      <c r="A292" s="51" t="s">
        <v>39</v>
      </c>
      <c r="B292" s="51" t="s">
        <v>111</v>
      </c>
      <c r="C292" s="24">
        <v>1997.0</v>
      </c>
      <c r="D292" s="24">
        <v>0.05556</v>
      </c>
      <c r="E292" s="52">
        <v>27.4</v>
      </c>
      <c r="F292" s="53">
        <f t="shared" si="1"/>
        <v>1.866393744</v>
      </c>
      <c r="G292" s="52">
        <v>4.5</v>
      </c>
      <c r="H292" s="54">
        <f t="shared" si="2"/>
        <v>0.3057062045</v>
      </c>
      <c r="I292" s="52">
        <v>9.9</v>
      </c>
      <c r="J292" s="54">
        <f t="shared" si="3"/>
        <v>0.9836552361</v>
      </c>
      <c r="K292" s="55">
        <v>2.067073171</v>
      </c>
      <c r="L292" s="54">
        <f t="shared" si="4"/>
        <v>0.1344545726</v>
      </c>
      <c r="M292" s="55">
        <v>0.87804878</v>
      </c>
      <c r="N292" s="56">
        <f t="shared" si="5"/>
        <v>0.05575358185</v>
      </c>
      <c r="O292" s="57">
        <v>0.6</v>
      </c>
      <c r="P292" s="24">
        <v>36928.0</v>
      </c>
      <c r="Q292" s="24">
        <v>14968.0</v>
      </c>
      <c r="R292" s="24">
        <v>5248.0</v>
      </c>
      <c r="S292" s="24">
        <v>1145.0</v>
      </c>
      <c r="T292" s="24">
        <v>2085.0</v>
      </c>
      <c r="U292" s="24">
        <v>25.019</v>
      </c>
      <c r="V292" s="24">
        <v>10.1409</v>
      </c>
      <c r="W292" s="24">
        <v>3.5556</v>
      </c>
      <c r="X292" s="24">
        <v>0.7757</v>
      </c>
      <c r="Y292" s="24">
        <v>1.4126</v>
      </c>
      <c r="Z292" s="24">
        <v>96.9</v>
      </c>
      <c r="AA292" s="24">
        <v>22.0</v>
      </c>
      <c r="AB292" s="24">
        <v>4.9</v>
      </c>
      <c r="AC292" s="24">
        <v>41.1</v>
      </c>
      <c r="AD292" s="24">
        <v>8.2</v>
      </c>
      <c r="AE292" s="24">
        <v>1.226</v>
      </c>
      <c r="AF292" s="24">
        <v>1.788321</v>
      </c>
      <c r="AG292" s="24">
        <v>1.170732</v>
      </c>
      <c r="AH292" s="24">
        <v>1.142857</v>
      </c>
      <c r="AI292" s="24">
        <v>1.222727</v>
      </c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</row>
    <row r="293">
      <c r="A293" s="51" t="s">
        <v>39</v>
      </c>
      <c r="B293" s="51" t="s">
        <v>111</v>
      </c>
      <c r="C293" s="24">
        <v>1998.0</v>
      </c>
      <c r="D293" s="24">
        <v>0.05488</v>
      </c>
      <c r="E293" s="52">
        <v>27.0</v>
      </c>
      <c r="F293" s="53">
        <f t="shared" si="1"/>
        <v>1.841383152</v>
      </c>
      <c r="G293" s="52">
        <v>3.9</v>
      </c>
      <c r="H293" s="54">
        <f t="shared" si="2"/>
        <v>0.2617027053</v>
      </c>
      <c r="I293" s="52">
        <v>10.3</v>
      </c>
      <c r="J293" s="54">
        <f t="shared" si="3"/>
        <v>1.001130026</v>
      </c>
      <c r="K293" s="55">
        <v>1.777777778</v>
      </c>
      <c r="L293" s="54">
        <f t="shared" si="4"/>
        <v>0.1115022083</v>
      </c>
      <c r="M293" s="55">
        <v>1.296296296</v>
      </c>
      <c r="N293" s="56">
        <f t="shared" si="5"/>
        <v>0.0781153078</v>
      </c>
      <c r="O293" s="57">
        <v>0.597</v>
      </c>
      <c r="P293" s="24">
        <v>36928.0</v>
      </c>
      <c r="Q293" s="24">
        <v>14968.0</v>
      </c>
      <c r="R293" s="24">
        <v>5248.0</v>
      </c>
      <c r="S293" s="24">
        <v>1145.0</v>
      </c>
      <c r="T293" s="24">
        <v>2085.0</v>
      </c>
      <c r="U293" s="24">
        <v>25.019</v>
      </c>
      <c r="V293" s="24">
        <v>10.1409</v>
      </c>
      <c r="W293" s="24">
        <v>3.5556</v>
      </c>
      <c r="X293" s="24">
        <v>0.7757</v>
      </c>
      <c r="Y293" s="24">
        <v>1.4126</v>
      </c>
      <c r="Z293" s="24">
        <v>95.6</v>
      </c>
      <c r="AA293" s="24">
        <v>22.0</v>
      </c>
      <c r="AB293" s="24">
        <v>5.1</v>
      </c>
      <c r="AC293" s="24">
        <v>41.5</v>
      </c>
      <c r="AD293" s="24">
        <v>8.4</v>
      </c>
      <c r="AE293" s="24">
        <v>1.2427</v>
      </c>
      <c r="AF293" s="24">
        <v>1.771084</v>
      </c>
      <c r="AG293" s="24">
        <v>1.142857</v>
      </c>
      <c r="AH293" s="24">
        <v>1.098039</v>
      </c>
      <c r="AI293" s="24">
        <v>1.222727</v>
      </c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</row>
    <row r="294">
      <c r="A294" s="51" t="s">
        <v>39</v>
      </c>
      <c r="B294" s="51" t="s">
        <v>111</v>
      </c>
      <c r="C294" s="24">
        <v>1999.0</v>
      </c>
      <c r="D294" s="24">
        <v>0.0332</v>
      </c>
      <c r="E294" s="52">
        <v>23.8</v>
      </c>
      <c r="F294" s="53">
        <f t="shared" si="1"/>
        <v>1.024758504</v>
      </c>
      <c r="G294" s="52">
        <v>4.1</v>
      </c>
      <c r="H294" s="54">
        <f t="shared" si="2"/>
        <v>0.176890254</v>
      </c>
      <c r="I294" s="52">
        <v>9.4</v>
      </c>
      <c r="J294" s="54">
        <f t="shared" si="3"/>
        <v>0.5500690872</v>
      </c>
      <c r="K294" s="55">
        <v>1.897959184</v>
      </c>
      <c r="L294" s="54">
        <f t="shared" si="4"/>
        <v>0.07201398518</v>
      </c>
      <c r="M294" s="55">
        <v>0.857142857</v>
      </c>
      <c r="N294" s="56">
        <f t="shared" si="5"/>
        <v>0.03187199999</v>
      </c>
      <c r="O294" s="57">
        <v>0.577</v>
      </c>
      <c r="P294" s="24">
        <v>36928.0</v>
      </c>
      <c r="Q294" s="24">
        <v>14968.0</v>
      </c>
      <c r="R294" s="24">
        <v>5248.0</v>
      </c>
      <c r="S294" s="24">
        <v>1145.0</v>
      </c>
      <c r="T294" s="24">
        <v>2085.0</v>
      </c>
      <c r="U294" s="24">
        <v>25.019</v>
      </c>
      <c r="V294" s="24">
        <v>10.1409</v>
      </c>
      <c r="W294" s="24">
        <v>3.5556</v>
      </c>
      <c r="X294" s="24">
        <v>0.7757</v>
      </c>
      <c r="Y294" s="24">
        <v>1.4126</v>
      </c>
      <c r="Z294" s="24">
        <v>91.6</v>
      </c>
      <c r="AA294" s="24">
        <v>20.7</v>
      </c>
      <c r="AB294" s="24">
        <v>5.0</v>
      </c>
      <c r="AC294" s="24">
        <v>41.7</v>
      </c>
      <c r="AD294" s="24">
        <v>8.4</v>
      </c>
      <c r="AE294" s="24">
        <v>1.2969</v>
      </c>
      <c r="AF294" s="24">
        <v>1.76259</v>
      </c>
      <c r="AG294" s="24">
        <v>1.142857</v>
      </c>
      <c r="AH294" s="24">
        <v>1.12</v>
      </c>
      <c r="AI294" s="24">
        <v>1.299517</v>
      </c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</row>
    <row r="295">
      <c r="A295" s="51" t="s">
        <v>39</v>
      </c>
      <c r="B295" s="51" t="s">
        <v>111</v>
      </c>
      <c r="C295" s="24">
        <v>2000.0</v>
      </c>
      <c r="D295" s="24">
        <v>0.05556</v>
      </c>
      <c r="E295" s="52">
        <v>25.5</v>
      </c>
      <c r="F295" s="53">
        <f t="shared" si="1"/>
        <v>1.72634643</v>
      </c>
      <c r="G295" s="52">
        <v>3.7</v>
      </c>
      <c r="H295" s="54">
        <f t="shared" si="2"/>
        <v>0.247976981</v>
      </c>
      <c r="I295" s="52">
        <v>9.5</v>
      </c>
      <c r="J295" s="54">
        <f t="shared" si="3"/>
        <v>0.9043071443</v>
      </c>
      <c r="K295" s="55">
        <v>1.445121951</v>
      </c>
      <c r="L295" s="54">
        <f t="shared" si="4"/>
        <v>0.09756879064</v>
      </c>
      <c r="M295" s="55">
        <v>1.298780488</v>
      </c>
      <c r="N295" s="56">
        <f t="shared" si="5"/>
        <v>0.07771102636</v>
      </c>
      <c r="O295" s="57">
        <v>0.582</v>
      </c>
      <c r="P295" s="24">
        <v>36928.0</v>
      </c>
      <c r="Q295" s="24">
        <v>14968.0</v>
      </c>
      <c r="R295" s="24">
        <v>5248.0</v>
      </c>
      <c r="S295" s="24">
        <v>1145.0</v>
      </c>
      <c r="T295" s="24">
        <v>2085.0</v>
      </c>
      <c r="U295" s="24">
        <v>25.019</v>
      </c>
      <c r="V295" s="24">
        <v>10.1409</v>
      </c>
      <c r="W295" s="24">
        <v>3.5556</v>
      </c>
      <c r="X295" s="24">
        <v>0.7757</v>
      </c>
      <c r="Y295" s="24">
        <v>1.4126</v>
      </c>
      <c r="Z295" s="24">
        <v>97.5</v>
      </c>
      <c r="AA295" s="24">
        <v>22.3</v>
      </c>
      <c r="AB295" s="24">
        <v>5.2</v>
      </c>
      <c r="AC295" s="24">
        <v>42.9</v>
      </c>
      <c r="AD295" s="24">
        <v>7.9</v>
      </c>
      <c r="AE295" s="24">
        <v>1.2185</v>
      </c>
      <c r="AF295" s="24">
        <v>1.713287</v>
      </c>
      <c r="AG295" s="24">
        <v>1.21519</v>
      </c>
      <c r="AH295" s="24">
        <v>1.076923</v>
      </c>
      <c r="AI295" s="24">
        <v>1.206278</v>
      </c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</row>
    <row r="296">
      <c r="A296" s="51" t="s">
        <v>39</v>
      </c>
      <c r="B296" s="51" t="s">
        <v>111</v>
      </c>
      <c r="C296" s="24">
        <v>2001.0</v>
      </c>
      <c r="D296" s="24">
        <v>0.05488</v>
      </c>
      <c r="E296" s="52">
        <v>23.2</v>
      </c>
      <c r="F296" s="53">
        <f t="shared" si="1"/>
        <v>1.595594291</v>
      </c>
      <c r="G296" s="52">
        <v>4.5</v>
      </c>
      <c r="H296" s="54">
        <f t="shared" si="2"/>
        <v>0.3047350572</v>
      </c>
      <c r="I296" s="52">
        <v>8.3</v>
      </c>
      <c r="J296" s="54">
        <f t="shared" si="3"/>
        <v>0.7877540836</v>
      </c>
      <c r="K296" s="55">
        <v>1.722222222</v>
      </c>
      <c r="L296" s="54">
        <f t="shared" si="4"/>
        <v>0.1163268158</v>
      </c>
      <c r="M296" s="55">
        <v>1.148148148</v>
      </c>
      <c r="N296" s="56">
        <f t="shared" si="5"/>
        <v>0.06657700937</v>
      </c>
      <c r="O296" s="57">
        <v>0.572</v>
      </c>
      <c r="P296" s="24">
        <v>36928.0</v>
      </c>
      <c r="Q296" s="24">
        <v>14968.0</v>
      </c>
      <c r="R296" s="24">
        <v>5248.0</v>
      </c>
      <c r="S296" s="24">
        <v>1145.0</v>
      </c>
      <c r="T296" s="24">
        <v>2085.0</v>
      </c>
      <c r="U296" s="24">
        <v>25.019</v>
      </c>
      <c r="V296" s="24">
        <v>10.1409</v>
      </c>
      <c r="W296" s="24">
        <v>3.5556</v>
      </c>
      <c r="X296" s="24">
        <v>0.7757</v>
      </c>
      <c r="Y296" s="24">
        <v>1.4126</v>
      </c>
      <c r="Z296" s="24">
        <v>94.8</v>
      </c>
      <c r="AA296" s="24">
        <v>21.8</v>
      </c>
      <c r="AB296" s="24">
        <v>5.3</v>
      </c>
      <c r="AC296" s="24">
        <v>42.5</v>
      </c>
      <c r="AD296" s="24">
        <v>7.8</v>
      </c>
      <c r="AE296" s="24">
        <v>1.2532</v>
      </c>
      <c r="AF296" s="24">
        <v>1.729412</v>
      </c>
      <c r="AG296" s="24">
        <v>1.230769</v>
      </c>
      <c r="AH296" s="24">
        <v>1.056604</v>
      </c>
      <c r="AI296" s="24">
        <v>1.233945</v>
      </c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</row>
    <row r="297">
      <c r="A297" s="51" t="s">
        <v>39</v>
      </c>
      <c r="B297" s="51" t="s">
        <v>111</v>
      </c>
      <c r="C297" s="24">
        <v>2002.0</v>
      </c>
      <c r="D297" s="24">
        <v>0.0542</v>
      </c>
      <c r="E297" s="52">
        <v>22.4</v>
      </c>
      <c r="F297" s="53">
        <f t="shared" si="1"/>
        <v>1.51031552</v>
      </c>
      <c r="G297" s="52">
        <v>4.3</v>
      </c>
      <c r="H297" s="54">
        <f t="shared" si="2"/>
        <v>0.2862701617</v>
      </c>
      <c r="I297" s="52">
        <v>8.6</v>
      </c>
      <c r="J297" s="54">
        <f t="shared" si="3"/>
        <v>0.8080148249</v>
      </c>
      <c r="K297" s="55">
        <v>2.85</v>
      </c>
      <c r="L297" s="54">
        <f t="shared" si="4"/>
        <v>0.1901168874</v>
      </c>
      <c r="M297" s="55">
        <v>1.10625</v>
      </c>
      <c r="N297" s="56">
        <f t="shared" si="5"/>
        <v>0.06457095693</v>
      </c>
      <c r="O297" s="57">
        <v>0.532</v>
      </c>
      <c r="P297" s="24">
        <v>36928.0</v>
      </c>
      <c r="Q297" s="24">
        <v>14968.0</v>
      </c>
      <c r="R297" s="24">
        <v>5248.0</v>
      </c>
      <c r="S297" s="24">
        <v>1145.0</v>
      </c>
      <c r="T297" s="24">
        <v>2085.0</v>
      </c>
      <c r="U297" s="24">
        <v>25.019</v>
      </c>
      <c r="V297" s="24">
        <v>10.1409</v>
      </c>
      <c r="W297" s="24">
        <v>3.5556</v>
      </c>
      <c r="X297" s="24">
        <v>0.7757</v>
      </c>
      <c r="Y297" s="24">
        <v>1.4126</v>
      </c>
      <c r="Z297" s="24">
        <v>95.5</v>
      </c>
      <c r="AA297" s="24">
        <v>21.9</v>
      </c>
      <c r="AB297" s="24">
        <v>5.2</v>
      </c>
      <c r="AC297" s="24">
        <v>42.4</v>
      </c>
      <c r="AD297" s="24">
        <v>7.8</v>
      </c>
      <c r="AE297" s="24">
        <v>1.244</v>
      </c>
      <c r="AF297" s="24">
        <v>1.733491</v>
      </c>
      <c r="AG297" s="24">
        <v>1.230769</v>
      </c>
      <c r="AH297" s="24">
        <v>1.076923</v>
      </c>
      <c r="AI297" s="24">
        <v>1.228311</v>
      </c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</row>
    <row r="298">
      <c r="A298" s="51" t="s">
        <v>39</v>
      </c>
      <c r="B298" s="51" t="s">
        <v>111</v>
      </c>
      <c r="C298" s="24">
        <v>2003.0</v>
      </c>
      <c r="D298" s="24">
        <v>0.05488</v>
      </c>
      <c r="E298" s="52">
        <v>20.6</v>
      </c>
      <c r="F298" s="53">
        <f t="shared" si="1"/>
        <v>1.412255578</v>
      </c>
      <c r="G298" s="52">
        <v>4.7</v>
      </c>
      <c r="H298" s="54">
        <f t="shared" si="2"/>
        <v>0.3227199796</v>
      </c>
      <c r="I298" s="52">
        <v>7.8</v>
      </c>
      <c r="J298" s="54">
        <f t="shared" si="3"/>
        <v>0.7437992977</v>
      </c>
      <c r="K298" s="55">
        <v>2.518518519</v>
      </c>
      <c r="L298" s="54">
        <f t="shared" si="4"/>
        <v>0.1679590611</v>
      </c>
      <c r="M298" s="55">
        <v>0.574074074</v>
      </c>
      <c r="N298" s="56">
        <f t="shared" si="5"/>
        <v>0.0352858074</v>
      </c>
      <c r="O298" s="57">
        <v>0.534</v>
      </c>
      <c r="P298" s="24">
        <v>36928.0</v>
      </c>
      <c r="Q298" s="24">
        <v>14968.0</v>
      </c>
      <c r="R298" s="24">
        <v>5248.0</v>
      </c>
      <c r="S298" s="24">
        <v>1145.0</v>
      </c>
      <c r="T298" s="24">
        <v>2085.0</v>
      </c>
      <c r="U298" s="24">
        <v>25.019</v>
      </c>
      <c r="V298" s="24">
        <v>10.1409</v>
      </c>
      <c r="W298" s="24">
        <v>3.5556</v>
      </c>
      <c r="X298" s="24">
        <v>0.7757</v>
      </c>
      <c r="Y298" s="24">
        <v>1.4126</v>
      </c>
      <c r="Z298" s="24">
        <v>95.1</v>
      </c>
      <c r="AA298" s="24">
        <v>21.5</v>
      </c>
      <c r="AB298" s="24">
        <v>5.0</v>
      </c>
      <c r="AC298" s="24">
        <v>42.3</v>
      </c>
      <c r="AD298" s="24">
        <v>7.9</v>
      </c>
      <c r="AE298" s="24">
        <v>1.2492</v>
      </c>
      <c r="AF298" s="24">
        <v>1.737589</v>
      </c>
      <c r="AG298" s="24">
        <v>1.21519</v>
      </c>
      <c r="AH298" s="24">
        <v>1.12</v>
      </c>
      <c r="AI298" s="24">
        <v>1.251163</v>
      </c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8"/>
    </row>
    <row r="299">
      <c r="A299" s="51" t="s">
        <v>39</v>
      </c>
      <c r="B299" s="51" t="s">
        <v>111</v>
      </c>
      <c r="C299" s="24">
        <v>2004.0</v>
      </c>
      <c r="D299" s="24">
        <v>0.02846</v>
      </c>
      <c r="E299" s="52">
        <v>13.2</v>
      </c>
      <c r="F299" s="53">
        <f t="shared" si="1"/>
        <v>0.4778172168</v>
      </c>
      <c r="G299" s="52">
        <v>3.9</v>
      </c>
      <c r="H299" s="54">
        <f t="shared" si="2"/>
        <v>0.1401755435</v>
      </c>
      <c r="I299" s="52">
        <v>8.7</v>
      </c>
      <c r="J299" s="54">
        <f t="shared" si="3"/>
        <v>0.431249889</v>
      </c>
      <c r="K299" s="55">
        <v>1.785714286</v>
      </c>
      <c r="L299" s="54">
        <f t="shared" si="4"/>
        <v>0.0617576918</v>
      </c>
      <c r="M299" s="55">
        <v>0.714285714</v>
      </c>
      <c r="N299" s="56">
        <f t="shared" si="5"/>
        <v>0.02232156423</v>
      </c>
      <c r="O299" s="57">
        <v>0.555</v>
      </c>
      <c r="P299" s="24">
        <v>36928.0</v>
      </c>
      <c r="Q299" s="24">
        <v>14968.0</v>
      </c>
      <c r="R299" s="24">
        <v>5248.0</v>
      </c>
      <c r="S299" s="24">
        <v>1145.0</v>
      </c>
      <c r="T299" s="24">
        <v>2085.0</v>
      </c>
      <c r="U299" s="24">
        <v>25.019</v>
      </c>
      <c r="V299" s="24">
        <v>10.1409</v>
      </c>
      <c r="W299" s="24">
        <v>3.5556</v>
      </c>
      <c r="X299" s="24">
        <v>0.7757</v>
      </c>
      <c r="Y299" s="24">
        <v>1.4126</v>
      </c>
      <c r="Z299" s="24">
        <v>93.4</v>
      </c>
      <c r="AA299" s="24">
        <v>21.3</v>
      </c>
      <c r="AB299" s="24">
        <v>5.1</v>
      </c>
      <c r="AC299" s="24">
        <v>42.2</v>
      </c>
      <c r="AD299" s="24">
        <v>7.9</v>
      </c>
      <c r="AE299" s="24">
        <v>1.2719</v>
      </c>
      <c r="AF299" s="24">
        <v>1.741706</v>
      </c>
      <c r="AG299" s="24">
        <v>1.21519</v>
      </c>
      <c r="AH299" s="24">
        <v>1.098039</v>
      </c>
      <c r="AI299" s="24">
        <v>1.262911</v>
      </c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</row>
    <row r="300">
      <c r="A300" s="51" t="s">
        <v>53</v>
      </c>
      <c r="B300" s="51" t="s">
        <v>111</v>
      </c>
      <c r="C300" s="24">
        <v>1996.0</v>
      </c>
      <c r="D300" s="24">
        <v>0.05302</v>
      </c>
      <c r="E300" s="52">
        <v>10.4</v>
      </c>
      <c r="F300" s="53">
        <f t="shared" si="1"/>
        <v>0.658381152</v>
      </c>
      <c r="G300" s="52">
        <v>1.8</v>
      </c>
      <c r="H300" s="54">
        <f t="shared" si="2"/>
        <v>0.1130937596</v>
      </c>
      <c r="I300" s="52">
        <v>6.3</v>
      </c>
      <c r="J300" s="54">
        <f t="shared" si="3"/>
        <v>0.5944530452</v>
      </c>
      <c r="K300" s="55">
        <v>1.6125</v>
      </c>
      <c r="L300" s="54">
        <f t="shared" si="4"/>
        <v>0.1025937</v>
      </c>
      <c r="M300" s="55">
        <v>2.45625</v>
      </c>
      <c r="N300" s="56">
        <f t="shared" si="5"/>
        <v>0.1429980307</v>
      </c>
      <c r="O300" s="57">
        <v>0.522</v>
      </c>
      <c r="P300" s="24">
        <v>26394.0</v>
      </c>
      <c r="Q300" s="24">
        <v>14973.0</v>
      </c>
      <c r="R300" s="24">
        <v>5522.0</v>
      </c>
      <c r="S300" s="24">
        <v>2054.0</v>
      </c>
      <c r="T300" s="24">
        <v>1905.0</v>
      </c>
      <c r="U300" s="24">
        <v>17.4911</v>
      </c>
      <c r="V300" s="24">
        <v>9.9225</v>
      </c>
      <c r="W300" s="24">
        <v>3.6594</v>
      </c>
      <c r="X300" s="24">
        <v>1.3612</v>
      </c>
      <c r="Y300" s="24">
        <v>1.2624</v>
      </c>
      <c r="Z300" s="24">
        <v>99.5</v>
      </c>
      <c r="AA300" s="24">
        <v>22.7</v>
      </c>
      <c r="AB300" s="24">
        <v>5.1</v>
      </c>
      <c r="AC300" s="24">
        <v>41.3</v>
      </c>
      <c r="AD300" s="24">
        <v>8.0</v>
      </c>
      <c r="AE300" s="24">
        <v>1.194</v>
      </c>
      <c r="AF300" s="24">
        <v>1.779661</v>
      </c>
      <c r="AG300" s="24">
        <v>1.2</v>
      </c>
      <c r="AH300" s="24">
        <v>1.098039</v>
      </c>
      <c r="AI300" s="24">
        <v>1.185022</v>
      </c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</row>
    <row r="301">
      <c r="A301" s="51" t="s">
        <v>53</v>
      </c>
      <c r="B301" s="51" t="s">
        <v>111</v>
      </c>
      <c r="C301" s="24">
        <v>1997.0</v>
      </c>
      <c r="D301" s="24">
        <v>0.05103</v>
      </c>
      <c r="E301" s="52">
        <v>17.0</v>
      </c>
      <c r="F301" s="53">
        <f t="shared" si="1"/>
        <v>1.06356726</v>
      </c>
      <c r="G301" s="52">
        <v>3.1</v>
      </c>
      <c r="H301" s="54">
        <f t="shared" si="2"/>
        <v>0.1934268523</v>
      </c>
      <c r="I301" s="52">
        <v>8.0</v>
      </c>
      <c r="J301" s="54">
        <f t="shared" si="3"/>
        <v>0.730064165</v>
      </c>
      <c r="K301" s="55">
        <v>2.045454545</v>
      </c>
      <c r="L301" s="54">
        <f t="shared" si="4"/>
        <v>0.122200474</v>
      </c>
      <c r="M301" s="55">
        <v>3.175324675</v>
      </c>
      <c r="N301" s="56">
        <f t="shared" si="5"/>
        <v>0.1851849119</v>
      </c>
      <c r="O301" s="57">
        <v>0.537</v>
      </c>
      <c r="P301" s="24">
        <v>26394.0</v>
      </c>
      <c r="Q301" s="24">
        <v>14973.0</v>
      </c>
      <c r="R301" s="24">
        <v>5522.0</v>
      </c>
      <c r="S301" s="24">
        <v>2054.0</v>
      </c>
      <c r="T301" s="24">
        <v>1905.0</v>
      </c>
      <c r="U301" s="24">
        <v>17.4911</v>
      </c>
      <c r="V301" s="24">
        <v>9.9225</v>
      </c>
      <c r="W301" s="24">
        <v>3.6594</v>
      </c>
      <c r="X301" s="24">
        <v>1.3612</v>
      </c>
      <c r="Y301" s="24">
        <v>1.2624</v>
      </c>
      <c r="Z301" s="24">
        <v>96.9</v>
      </c>
      <c r="AA301" s="24">
        <v>22.0</v>
      </c>
      <c r="AB301" s="24">
        <v>4.9</v>
      </c>
      <c r="AC301" s="24">
        <v>41.1</v>
      </c>
      <c r="AD301" s="24">
        <v>8.2</v>
      </c>
      <c r="AE301" s="24">
        <v>1.226</v>
      </c>
      <c r="AF301" s="24">
        <v>1.788321</v>
      </c>
      <c r="AG301" s="24">
        <v>1.170732</v>
      </c>
      <c r="AH301" s="24">
        <v>1.142857</v>
      </c>
      <c r="AI301" s="24">
        <v>1.222727</v>
      </c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</row>
    <row r="302">
      <c r="A302" s="51" t="s">
        <v>53</v>
      </c>
      <c r="B302" s="51" t="s">
        <v>111</v>
      </c>
      <c r="C302" s="24">
        <v>1998.0</v>
      </c>
      <c r="D302" s="24">
        <v>0.05434</v>
      </c>
      <c r="E302" s="52">
        <v>18.5</v>
      </c>
      <c r="F302" s="53">
        <f t="shared" si="1"/>
        <v>1.249273883</v>
      </c>
      <c r="G302" s="52">
        <v>4.2</v>
      </c>
      <c r="H302" s="54">
        <f t="shared" si="2"/>
        <v>0.2790605378</v>
      </c>
      <c r="I302" s="52">
        <v>9.6</v>
      </c>
      <c r="J302" s="54">
        <f t="shared" si="3"/>
        <v>0.9239107638</v>
      </c>
      <c r="K302" s="55">
        <v>2.542682927</v>
      </c>
      <c r="L302" s="54">
        <f t="shared" si="4"/>
        <v>0.1579078548</v>
      </c>
      <c r="M302" s="55">
        <v>2.743902439</v>
      </c>
      <c r="N302" s="56">
        <f t="shared" si="5"/>
        <v>0.1637216321</v>
      </c>
      <c r="O302" s="57">
        <v>0.527</v>
      </c>
      <c r="P302" s="24">
        <v>26394.0</v>
      </c>
      <c r="Q302" s="24">
        <v>14973.0</v>
      </c>
      <c r="R302" s="24">
        <v>5522.0</v>
      </c>
      <c r="S302" s="24">
        <v>2054.0</v>
      </c>
      <c r="T302" s="24">
        <v>1905.0</v>
      </c>
      <c r="U302" s="24">
        <v>17.4911</v>
      </c>
      <c r="V302" s="24">
        <v>9.9225</v>
      </c>
      <c r="W302" s="24">
        <v>3.6594</v>
      </c>
      <c r="X302" s="24">
        <v>1.3612</v>
      </c>
      <c r="Y302" s="24">
        <v>1.2624</v>
      </c>
      <c r="Z302" s="24">
        <v>95.6</v>
      </c>
      <c r="AA302" s="24">
        <v>22.0</v>
      </c>
      <c r="AB302" s="24">
        <v>5.1</v>
      </c>
      <c r="AC302" s="24">
        <v>41.5</v>
      </c>
      <c r="AD302" s="24">
        <v>8.4</v>
      </c>
      <c r="AE302" s="24">
        <v>1.2427</v>
      </c>
      <c r="AF302" s="24">
        <v>1.771084</v>
      </c>
      <c r="AG302" s="24">
        <v>1.142857</v>
      </c>
      <c r="AH302" s="24">
        <v>1.098039</v>
      </c>
      <c r="AI302" s="24">
        <v>1.222727</v>
      </c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8"/>
    </row>
    <row r="303">
      <c r="A303" s="51" t="s">
        <v>53</v>
      </c>
      <c r="B303" s="51" t="s">
        <v>111</v>
      </c>
      <c r="C303" s="24">
        <v>1999.0</v>
      </c>
      <c r="D303" s="24">
        <v>0.03115</v>
      </c>
      <c r="E303" s="52">
        <v>20.8</v>
      </c>
      <c r="F303" s="53">
        <f t="shared" si="1"/>
        <v>0.840287448</v>
      </c>
      <c r="G303" s="52">
        <v>4.3</v>
      </c>
      <c r="H303" s="54">
        <f t="shared" si="2"/>
        <v>0.1740638046</v>
      </c>
      <c r="I303" s="52">
        <v>10.4</v>
      </c>
      <c r="J303" s="54">
        <f t="shared" si="3"/>
        <v>0.5710086564</v>
      </c>
      <c r="K303" s="55">
        <v>2.489361702</v>
      </c>
      <c r="L303" s="54">
        <f t="shared" si="4"/>
        <v>0.08862126551</v>
      </c>
      <c r="M303" s="55">
        <v>2.64893617</v>
      </c>
      <c r="N303" s="56">
        <f t="shared" si="5"/>
        <v>0.0924160851</v>
      </c>
      <c r="O303" s="57">
        <v>0.493</v>
      </c>
      <c r="P303" s="24">
        <v>26394.0</v>
      </c>
      <c r="Q303" s="24">
        <v>14973.0</v>
      </c>
      <c r="R303" s="24">
        <v>5522.0</v>
      </c>
      <c r="S303" s="24">
        <v>2054.0</v>
      </c>
      <c r="T303" s="24">
        <v>1905.0</v>
      </c>
      <c r="U303" s="24">
        <v>17.4911</v>
      </c>
      <c r="V303" s="24">
        <v>9.9225</v>
      </c>
      <c r="W303" s="24">
        <v>3.6594</v>
      </c>
      <c r="X303" s="24">
        <v>1.3612</v>
      </c>
      <c r="Y303" s="24">
        <v>1.2624</v>
      </c>
      <c r="Z303" s="24">
        <v>91.6</v>
      </c>
      <c r="AA303" s="24">
        <v>20.7</v>
      </c>
      <c r="AB303" s="24">
        <v>5.0</v>
      </c>
      <c r="AC303" s="24">
        <v>41.7</v>
      </c>
      <c r="AD303" s="24">
        <v>8.4</v>
      </c>
      <c r="AE303" s="24">
        <v>1.2969</v>
      </c>
      <c r="AF303" s="24">
        <v>1.76259</v>
      </c>
      <c r="AG303" s="24">
        <v>1.142857</v>
      </c>
      <c r="AH303" s="24">
        <v>1.12</v>
      </c>
      <c r="AI303" s="24">
        <v>1.299517</v>
      </c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</row>
    <row r="304">
      <c r="A304" s="51" t="s">
        <v>53</v>
      </c>
      <c r="B304" s="51" t="s">
        <v>111</v>
      </c>
      <c r="C304" s="24">
        <v>2000.0</v>
      </c>
      <c r="D304" s="24">
        <v>0.05368</v>
      </c>
      <c r="E304" s="52">
        <v>22.9</v>
      </c>
      <c r="F304" s="53">
        <f t="shared" si="1"/>
        <v>1.497867932</v>
      </c>
      <c r="G304" s="52">
        <v>5.0</v>
      </c>
      <c r="H304" s="54">
        <f t="shared" si="2"/>
        <v>0.3237650152</v>
      </c>
      <c r="I304" s="52">
        <v>11.8</v>
      </c>
      <c r="J304" s="54">
        <f t="shared" si="3"/>
        <v>1.085237105</v>
      </c>
      <c r="K304" s="55">
        <v>2.222222222</v>
      </c>
      <c r="L304" s="54">
        <f t="shared" si="4"/>
        <v>0.1449586649</v>
      </c>
      <c r="M304" s="55">
        <v>2.333333333</v>
      </c>
      <c r="N304" s="56">
        <f t="shared" si="5"/>
        <v>0.1348881955</v>
      </c>
      <c r="O304" s="57">
        <v>0.545</v>
      </c>
      <c r="P304" s="24">
        <v>26394.0</v>
      </c>
      <c r="Q304" s="24">
        <v>14973.0</v>
      </c>
      <c r="R304" s="24">
        <v>5522.0</v>
      </c>
      <c r="S304" s="24">
        <v>2054.0</v>
      </c>
      <c r="T304" s="24">
        <v>1905.0</v>
      </c>
      <c r="U304" s="24">
        <v>17.4911</v>
      </c>
      <c r="V304" s="24">
        <v>9.9225</v>
      </c>
      <c r="W304" s="24">
        <v>3.6594</v>
      </c>
      <c r="X304" s="24">
        <v>1.3612</v>
      </c>
      <c r="Y304" s="24">
        <v>1.2624</v>
      </c>
      <c r="Z304" s="24">
        <v>97.5</v>
      </c>
      <c r="AA304" s="24">
        <v>22.3</v>
      </c>
      <c r="AB304" s="24">
        <v>5.2</v>
      </c>
      <c r="AC304" s="24">
        <v>42.9</v>
      </c>
      <c r="AD304" s="24">
        <v>7.9</v>
      </c>
      <c r="AE304" s="24">
        <v>1.2185</v>
      </c>
      <c r="AF304" s="24">
        <v>1.713287</v>
      </c>
      <c r="AG304" s="24">
        <v>1.21519</v>
      </c>
      <c r="AH304" s="24">
        <v>1.076923</v>
      </c>
      <c r="AI304" s="24">
        <v>1.206278</v>
      </c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8"/>
    </row>
    <row r="305">
      <c r="A305" s="51" t="s">
        <v>53</v>
      </c>
      <c r="B305" s="51" t="s">
        <v>111</v>
      </c>
      <c r="C305" s="24">
        <v>2001.0</v>
      </c>
      <c r="D305" s="24">
        <v>0.05368</v>
      </c>
      <c r="E305" s="52">
        <v>22.0</v>
      </c>
      <c r="F305" s="53">
        <f t="shared" si="1"/>
        <v>1.479979072</v>
      </c>
      <c r="G305" s="52">
        <v>5.0</v>
      </c>
      <c r="H305" s="54">
        <f t="shared" si="2"/>
        <v>0.331190838</v>
      </c>
      <c r="I305" s="52">
        <v>11.4</v>
      </c>
      <c r="J305" s="54">
        <f t="shared" si="3"/>
        <v>1.058317132</v>
      </c>
      <c r="K305" s="55">
        <v>2.055555556</v>
      </c>
      <c r="L305" s="54">
        <f t="shared" si="4"/>
        <v>0.1358057865</v>
      </c>
      <c r="M305" s="55">
        <v>2.685185185</v>
      </c>
      <c r="N305" s="56">
        <f t="shared" si="5"/>
        <v>0.1522996832</v>
      </c>
      <c r="O305" s="57">
        <v>0.531</v>
      </c>
      <c r="P305" s="24">
        <v>26394.0</v>
      </c>
      <c r="Q305" s="24">
        <v>14973.0</v>
      </c>
      <c r="R305" s="24">
        <v>5522.0</v>
      </c>
      <c r="S305" s="24">
        <v>2054.0</v>
      </c>
      <c r="T305" s="24">
        <v>1905.0</v>
      </c>
      <c r="U305" s="24">
        <v>17.4911</v>
      </c>
      <c r="V305" s="24">
        <v>9.9225</v>
      </c>
      <c r="W305" s="24">
        <v>3.6594</v>
      </c>
      <c r="X305" s="24">
        <v>1.3612</v>
      </c>
      <c r="Y305" s="24">
        <v>1.2624</v>
      </c>
      <c r="Z305" s="24">
        <v>94.8</v>
      </c>
      <c r="AA305" s="24">
        <v>21.8</v>
      </c>
      <c r="AB305" s="24">
        <v>5.3</v>
      </c>
      <c r="AC305" s="24">
        <v>42.5</v>
      </c>
      <c r="AD305" s="24">
        <v>7.8</v>
      </c>
      <c r="AE305" s="24">
        <v>1.2532</v>
      </c>
      <c r="AF305" s="24">
        <v>1.729412</v>
      </c>
      <c r="AG305" s="24">
        <v>1.230769</v>
      </c>
      <c r="AH305" s="24">
        <v>1.056604</v>
      </c>
      <c r="AI305" s="24">
        <v>1.233945</v>
      </c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</row>
    <row r="306">
      <c r="A306" s="51" t="s">
        <v>53</v>
      </c>
      <c r="B306" s="51" t="s">
        <v>111</v>
      </c>
      <c r="C306" s="24">
        <v>2002.0</v>
      </c>
      <c r="D306" s="24">
        <v>0.05368</v>
      </c>
      <c r="E306" s="52">
        <v>21.2</v>
      </c>
      <c r="F306" s="53">
        <f t="shared" si="1"/>
        <v>1.415691904</v>
      </c>
      <c r="G306" s="52">
        <v>5.2</v>
      </c>
      <c r="H306" s="54">
        <f t="shared" si="2"/>
        <v>0.3428658193</v>
      </c>
      <c r="I306" s="52">
        <v>12.1</v>
      </c>
      <c r="J306" s="54">
        <f t="shared" si="3"/>
        <v>1.125950942</v>
      </c>
      <c r="K306" s="55">
        <v>1.777777778</v>
      </c>
      <c r="L306" s="54">
        <f t="shared" si="4"/>
        <v>0.1174536532</v>
      </c>
      <c r="M306" s="55">
        <v>2.333333333</v>
      </c>
      <c r="N306" s="56">
        <f t="shared" si="5"/>
        <v>0.1348881955</v>
      </c>
      <c r="O306" s="57">
        <v>0.536</v>
      </c>
      <c r="P306" s="24">
        <v>26394.0</v>
      </c>
      <c r="Q306" s="24">
        <v>14973.0</v>
      </c>
      <c r="R306" s="24">
        <v>5522.0</v>
      </c>
      <c r="S306" s="24">
        <v>2054.0</v>
      </c>
      <c r="T306" s="24">
        <v>1905.0</v>
      </c>
      <c r="U306" s="24">
        <v>17.4911</v>
      </c>
      <c r="V306" s="24">
        <v>9.9225</v>
      </c>
      <c r="W306" s="24">
        <v>3.6594</v>
      </c>
      <c r="X306" s="24">
        <v>1.3612</v>
      </c>
      <c r="Y306" s="24">
        <v>1.2624</v>
      </c>
      <c r="Z306" s="24">
        <v>95.5</v>
      </c>
      <c r="AA306" s="24">
        <v>21.9</v>
      </c>
      <c r="AB306" s="24">
        <v>5.2</v>
      </c>
      <c r="AC306" s="24">
        <v>42.4</v>
      </c>
      <c r="AD306" s="24">
        <v>7.8</v>
      </c>
      <c r="AE306" s="24">
        <v>1.244</v>
      </c>
      <c r="AF306" s="24">
        <v>1.733491</v>
      </c>
      <c r="AG306" s="24">
        <v>1.230769</v>
      </c>
      <c r="AH306" s="24">
        <v>1.076923</v>
      </c>
      <c r="AI306" s="24">
        <v>1.228311</v>
      </c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</row>
    <row r="307">
      <c r="A307" s="51" t="s">
        <v>53</v>
      </c>
      <c r="B307" s="51" t="s">
        <v>111</v>
      </c>
      <c r="C307" s="24">
        <v>2003.0</v>
      </c>
      <c r="D307" s="24">
        <v>0.05434</v>
      </c>
      <c r="E307" s="52">
        <v>23.0</v>
      </c>
      <c r="F307" s="53">
        <f t="shared" si="1"/>
        <v>1.561275144</v>
      </c>
      <c r="G307" s="52">
        <v>6.0</v>
      </c>
      <c r="H307" s="54">
        <f t="shared" si="2"/>
        <v>0.4079291845</v>
      </c>
      <c r="I307" s="52">
        <v>13.4</v>
      </c>
      <c r="J307" s="54">
        <f t="shared" si="3"/>
        <v>1.265235856</v>
      </c>
      <c r="K307" s="55">
        <v>2.067073171</v>
      </c>
      <c r="L307" s="54">
        <f t="shared" si="4"/>
        <v>0.1364959204</v>
      </c>
      <c r="M307" s="55">
        <v>2.359756098</v>
      </c>
      <c r="N307" s="56">
        <f t="shared" si="5"/>
        <v>0.1436166439</v>
      </c>
      <c r="O307" s="57">
        <v>0.553</v>
      </c>
      <c r="P307" s="24">
        <v>26394.0</v>
      </c>
      <c r="Q307" s="24">
        <v>14973.0</v>
      </c>
      <c r="R307" s="24">
        <v>5522.0</v>
      </c>
      <c r="S307" s="24">
        <v>2054.0</v>
      </c>
      <c r="T307" s="24">
        <v>1905.0</v>
      </c>
      <c r="U307" s="24">
        <v>17.4911</v>
      </c>
      <c r="V307" s="24">
        <v>9.9225</v>
      </c>
      <c r="W307" s="24">
        <v>3.6594</v>
      </c>
      <c r="X307" s="24">
        <v>1.3612</v>
      </c>
      <c r="Y307" s="24">
        <v>1.2624</v>
      </c>
      <c r="Z307" s="24">
        <v>95.1</v>
      </c>
      <c r="AA307" s="24">
        <v>21.5</v>
      </c>
      <c r="AB307" s="24">
        <v>5.0</v>
      </c>
      <c r="AC307" s="24">
        <v>42.3</v>
      </c>
      <c r="AD307" s="24">
        <v>7.9</v>
      </c>
      <c r="AE307" s="24">
        <v>1.2492</v>
      </c>
      <c r="AF307" s="24">
        <v>1.737589</v>
      </c>
      <c r="AG307" s="24">
        <v>1.21519</v>
      </c>
      <c r="AH307" s="24">
        <v>1.12</v>
      </c>
      <c r="AI307" s="24">
        <v>1.251163</v>
      </c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</row>
    <row r="308">
      <c r="A308" s="51" t="s">
        <v>53</v>
      </c>
      <c r="B308" s="51" t="s">
        <v>111</v>
      </c>
      <c r="C308" s="24">
        <v>2004.0</v>
      </c>
      <c r="D308" s="24">
        <v>0.05434</v>
      </c>
      <c r="E308" s="52">
        <v>24.2</v>
      </c>
      <c r="F308" s="53">
        <f t="shared" si="1"/>
        <v>1.672584113</v>
      </c>
      <c r="G308" s="52">
        <v>5.0</v>
      </c>
      <c r="H308" s="54">
        <f t="shared" si="2"/>
        <v>0.3431329187</v>
      </c>
      <c r="I308" s="52">
        <v>13.9</v>
      </c>
      <c r="J308" s="54">
        <f t="shared" si="3"/>
        <v>1.315555826</v>
      </c>
      <c r="K308" s="55">
        <v>2.195121951</v>
      </c>
      <c r="L308" s="54">
        <f t="shared" si="4"/>
        <v>0.1449514198</v>
      </c>
      <c r="M308" s="55">
        <v>3.256097561</v>
      </c>
      <c r="N308" s="56">
        <f t="shared" si="5"/>
        <v>0.1942830034</v>
      </c>
      <c r="O308" s="57">
        <v>0.547</v>
      </c>
      <c r="P308" s="24">
        <v>26394.0</v>
      </c>
      <c r="Q308" s="24">
        <v>14973.0</v>
      </c>
      <c r="R308" s="24">
        <v>5522.0</v>
      </c>
      <c r="S308" s="24">
        <v>2054.0</v>
      </c>
      <c r="T308" s="24">
        <v>1905.0</v>
      </c>
      <c r="U308" s="24">
        <v>17.4911</v>
      </c>
      <c r="V308" s="24">
        <v>9.9225</v>
      </c>
      <c r="W308" s="24">
        <v>3.6594</v>
      </c>
      <c r="X308" s="24">
        <v>1.3612</v>
      </c>
      <c r="Y308" s="24">
        <v>1.2624</v>
      </c>
      <c r="Z308" s="24">
        <v>93.4</v>
      </c>
      <c r="AA308" s="24">
        <v>21.3</v>
      </c>
      <c r="AB308" s="24">
        <v>5.1</v>
      </c>
      <c r="AC308" s="24">
        <v>42.2</v>
      </c>
      <c r="AD308" s="24">
        <v>7.9</v>
      </c>
      <c r="AE308" s="24">
        <v>1.2719</v>
      </c>
      <c r="AF308" s="24">
        <v>1.741706</v>
      </c>
      <c r="AG308" s="24">
        <v>1.21519</v>
      </c>
      <c r="AH308" s="24">
        <v>1.098039</v>
      </c>
      <c r="AI308" s="24">
        <v>1.262911</v>
      </c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</row>
    <row r="309">
      <c r="A309" s="51" t="s">
        <v>53</v>
      </c>
      <c r="B309" s="51" t="s">
        <v>111</v>
      </c>
      <c r="C309" s="24">
        <v>2005.0</v>
      </c>
      <c r="D309" s="24">
        <v>0.05434</v>
      </c>
      <c r="E309" s="52">
        <v>22.2</v>
      </c>
      <c r="F309" s="53">
        <f t="shared" si="1"/>
        <v>1.474398526</v>
      </c>
      <c r="G309" s="52">
        <v>5.7</v>
      </c>
      <c r="H309" s="54">
        <f t="shared" si="2"/>
        <v>0.3911715273</v>
      </c>
      <c r="I309" s="52">
        <v>13.5</v>
      </c>
      <c r="J309" s="54">
        <f t="shared" si="3"/>
        <v>1.286846705</v>
      </c>
      <c r="K309" s="55">
        <v>2.213414634</v>
      </c>
      <c r="L309" s="54">
        <f t="shared" si="4"/>
        <v>0.1539544976</v>
      </c>
      <c r="M309" s="55">
        <v>2.048780488</v>
      </c>
      <c r="N309" s="56">
        <f t="shared" si="5"/>
        <v>0.1272351061</v>
      </c>
      <c r="O309" s="57">
        <v>0.567</v>
      </c>
      <c r="P309" s="24">
        <v>26394.0</v>
      </c>
      <c r="Q309" s="24">
        <v>14973.0</v>
      </c>
      <c r="R309" s="24">
        <v>5522.0</v>
      </c>
      <c r="S309" s="24">
        <v>2054.0</v>
      </c>
      <c r="T309" s="24">
        <v>1905.0</v>
      </c>
      <c r="U309" s="24">
        <v>17.4911</v>
      </c>
      <c r="V309" s="24">
        <v>9.9225</v>
      </c>
      <c r="W309" s="24">
        <v>3.6594</v>
      </c>
      <c r="X309" s="24">
        <v>1.3612</v>
      </c>
      <c r="Y309" s="24">
        <v>1.2624</v>
      </c>
      <c r="Z309" s="24">
        <v>97.2</v>
      </c>
      <c r="AA309" s="24">
        <v>21.3</v>
      </c>
      <c r="AB309" s="24">
        <v>4.9</v>
      </c>
      <c r="AC309" s="24">
        <v>41.9</v>
      </c>
      <c r="AD309" s="24">
        <v>7.5</v>
      </c>
      <c r="AE309" s="24">
        <v>1.2222</v>
      </c>
      <c r="AF309" s="24">
        <v>1.754177</v>
      </c>
      <c r="AG309" s="24">
        <v>1.28</v>
      </c>
      <c r="AH309" s="24">
        <v>1.142857</v>
      </c>
      <c r="AI309" s="24">
        <v>1.262911</v>
      </c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</row>
    <row r="310">
      <c r="A310" s="51" t="s">
        <v>53</v>
      </c>
      <c r="B310" s="51" t="s">
        <v>111</v>
      </c>
      <c r="C310" s="24">
        <v>2006.0</v>
      </c>
      <c r="D310" s="24">
        <v>0.05036</v>
      </c>
      <c r="E310" s="52">
        <v>21.8</v>
      </c>
      <c r="F310" s="53">
        <f t="shared" si="1"/>
        <v>1.344534446</v>
      </c>
      <c r="G310" s="52">
        <v>4.1</v>
      </c>
      <c r="H310" s="54">
        <f t="shared" si="2"/>
        <v>0.2696215227</v>
      </c>
      <c r="I310" s="52">
        <v>12.7</v>
      </c>
      <c r="J310" s="54">
        <f t="shared" si="3"/>
        <v>1.146549852</v>
      </c>
      <c r="K310" s="55">
        <v>2.052631579</v>
      </c>
      <c r="L310" s="54">
        <f t="shared" si="4"/>
        <v>0.137827334</v>
      </c>
      <c r="M310" s="55">
        <v>2.111842105</v>
      </c>
      <c r="N310" s="56">
        <f t="shared" si="5"/>
        <v>0.1267176771</v>
      </c>
      <c r="O310" s="57">
        <v>0.589</v>
      </c>
      <c r="P310" s="24">
        <v>26394.0</v>
      </c>
      <c r="Q310" s="24">
        <v>14973.0</v>
      </c>
      <c r="R310" s="24">
        <v>5522.0</v>
      </c>
      <c r="S310" s="24">
        <v>2054.0</v>
      </c>
      <c r="T310" s="24">
        <v>1905.0</v>
      </c>
      <c r="U310" s="24">
        <v>17.4911</v>
      </c>
      <c r="V310" s="24">
        <v>9.9225</v>
      </c>
      <c r="W310" s="24">
        <v>3.6594</v>
      </c>
      <c r="X310" s="24">
        <v>1.3612</v>
      </c>
      <c r="Y310" s="24">
        <v>1.2624</v>
      </c>
      <c r="Z310" s="24">
        <v>97.0</v>
      </c>
      <c r="AA310" s="24">
        <v>20.6</v>
      </c>
      <c r="AB310" s="24">
        <v>4.7</v>
      </c>
      <c r="AC310" s="24">
        <v>41.0</v>
      </c>
      <c r="AD310" s="24">
        <v>7.2</v>
      </c>
      <c r="AE310" s="24">
        <v>1.2247</v>
      </c>
      <c r="AF310" s="24">
        <v>1.792683</v>
      </c>
      <c r="AG310" s="24">
        <v>1.333333</v>
      </c>
      <c r="AH310" s="24">
        <v>1.191489</v>
      </c>
      <c r="AI310" s="24">
        <v>1.305825</v>
      </c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</row>
    <row r="311">
      <c r="A311" s="51" t="s">
        <v>53</v>
      </c>
      <c r="B311" s="51" t="s">
        <v>111</v>
      </c>
      <c r="C311" s="24">
        <v>2007.0</v>
      </c>
      <c r="D311" s="24">
        <v>0.05036</v>
      </c>
      <c r="E311" s="52">
        <v>22.4</v>
      </c>
      <c r="F311" s="53">
        <f t="shared" si="1"/>
        <v>1.35773783</v>
      </c>
      <c r="G311" s="52">
        <v>4.1</v>
      </c>
      <c r="H311" s="54">
        <f t="shared" si="2"/>
        <v>0.2607608116</v>
      </c>
      <c r="I311" s="52">
        <v>12.8</v>
      </c>
      <c r="J311" s="54">
        <f t="shared" si="3"/>
        <v>1.152766023</v>
      </c>
      <c r="K311" s="55">
        <v>1.756578947</v>
      </c>
      <c r="L311" s="54">
        <f t="shared" si="4"/>
        <v>0.1179483915</v>
      </c>
      <c r="M311" s="55">
        <v>2.486842105</v>
      </c>
      <c r="N311" s="56">
        <f t="shared" si="5"/>
        <v>0.1524628452</v>
      </c>
      <c r="O311" s="57">
        <v>0.546</v>
      </c>
      <c r="P311" s="24">
        <v>26394.0</v>
      </c>
      <c r="Q311" s="24">
        <v>14973.0</v>
      </c>
      <c r="R311" s="24">
        <v>5522.0</v>
      </c>
      <c r="S311" s="24">
        <v>2054.0</v>
      </c>
      <c r="T311" s="24">
        <v>1905.0</v>
      </c>
      <c r="U311" s="24">
        <v>17.4911</v>
      </c>
      <c r="V311" s="24">
        <v>9.9225</v>
      </c>
      <c r="W311" s="24">
        <v>3.6594</v>
      </c>
      <c r="X311" s="24">
        <v>1.3612</v>
      </c>
      <c r="Y311" s="24">
        <v>1.2624</v>
      </c>
      <c r="Z311" s="24">
        <v>98.7</v>
      </c>
      <c r="AA311" s="24">
        <v>21.3</v>
      </c>
      <c r="AB311" s="24">
        <v>4.6</v>
      </c>
      <c r="AC311" s="24">
        <v>41.1</v>
      </c>
      <c r="AD311" s="24">
        <v>7.2</v>
      </c>
      <c r="AE311" s="24">
        <v>1.2036</v>
      </c>
      <c r="AF311" s="24">
        <v>1.788321</v>
      </c>
      <c r="AG311" s="24">
        <v>1.333333</v>
      </c>
      <c r="AH311" s="24">
        <v>1.217391</v>
      </c>
      <c r="AI311" s="24">
        <v>1.262911</v>
      </c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</row>
    <row r="312">
      <c r="A312" s="51" t="s">
        <v>53</v>
      </c>
      <c r="B312" s="51" t="s">
        <v>111</v>
      </c>
      <c r="C312" s="24">
        <v>2008.0</v>
      </c>
      <c r="D312" s="24">
        <v>0.04705</v>
      </c>
      <c r="E312" s="52">
        <v>18.8</v>
      </c>
      <c r="F312" s="53">
        <f t="shared" si="1"/>
        <v>1.051894968</v>
      </c>
      <c r="G312" s="52">
        <v>3.4</v>
      </c>
      <c r="H312" s="54">
        <f t="shared" si="2"/>
        <v>0.1973941817</v>
      </c>
      <c r="I312" s="52">
        <v>9.2</v>
      </c>
      <c r="J312" s="54">
        <f t="shared" si="3"/>
        <v>0.757505</v>
      </c>
      <c r="K312" s="55">
        <v>2.112676056</v>
      </c>
      <c r="L312" s="54">
        <f t="shared" si="4"/>
        <v>0.1307196114</v>
      </c>
      <c r="M312" s="55">
        <v>1.88028169</v>
      </c>
      <c r="N312" s="56">
        <f t="shared" si="5"/>
        <v>0.1054077594</v>
      </c>
      <c r="O312" s="57">
        <v>0.588</v>
      </c>
      <c r="P312" s="24">
        <v>26394.0</v>
      </c>
      <c r="Q312" s="24">
        <v>14973.0</v>
      </c>
      <c r="R312" s="24">
        <v>5522.0</v>
      </c>
      <c r="S312" s="24">
        <v>2054.0</v>
      </c>
      <c r="T312" s="24">
        <v>1905.0</v>
      </c>
      <c r="U312" s="24">
        <v>17.4911</v>
      </c>
      <c r="V312" s="24">
        <v>9.9225</v>
      </c>
      <c r="W312" s="24">
        <v>3.6594</v>
      </c>
      <c r="X312" s="24">
        <v>1.3612</v>
      </c>
      <c r="Y312" s="24">
        <v>1.2624</v>
      </c>
      <c r="Z312" s="24">
        <v>99.9</v>
      </c>
      <c r="AA312" s="24">
        <v>21.8</v>
      </c>
      <c r="AB312" s="24">
        <v>4.7</v>
      </c>
      <c r="AC312" s="24">
        <v>42.0</v>
      </c>
      <c r="AD312" s="24">
        <v>7.3</v>
      </c>
      <c r="AE312" s="24">
        <v>1.1892</v>
      </c>
      <c r="AF312" s="24">
        <v>1.75</v>
      </c>
      <c r="AG312" s="24">
        <v>1.315068</v>
      </c>
      <c r="AH312" s="24">
        <v>1.191489</v>
      </c>
      <c r="AI312" s="24">
        <v>1.233945</v>
      </c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</row>
    <row r="313">
      <c r="A313" s="51" t="s">
        <v>53</v>
      </c>
      <c r="B313" s="51" t="s">
        <v>111</v>
      </c>
      <c r="C313" s="24">
        <v>2009.0</v>
      </c>
      <c r="D313" s="24">
        <v>0.03777</v>
      </c>
      <c r="E313" s="52">
        <v>15.8</v>
      </c>
      <c r="F313" s="53">
        <f t="shared" si="1"/>
        <v>0.708958008</v>
      </c>
      <c r="G313" s="52">
        <v>2.5</v>
      </c>
      <c r="H313" s="54">
        <f t="shared" si="2"/>
        <v>0.1209538926</v>
      </c>
      <c r="I313" s="52">
        <v>8.5</v>
      </c>
      <c r="J313" s="54">
        <f t="shared" si="3"/>
        <v>0.5713512657</v>
      </c>
      <c r="K313" s="55">
        <v>1.657894737</v>
      </c>
      <c r="L313" s="54">
        <f t="shared" si="4"/>
        <v>0.08234782782</v>
      </c>
      <c r="M313" s="55">
        <v>1.789473684</v>
      </c>
      <c r="N313" s="56">
        <f t="shared" si="5"/>
        <v>0.07885318041</v>
      </c>
      <c r="O313" s="57">
        <v>0.563</v>
      </c>
      <c r="P313" s="24">
        <v>26394.0</v>
      </c>
      <c r="Q313" s="24">
        <v>14973.0</v>
      </c>
      <c r="R313" s="24">
        <v>5522.0</v>
      </c>
      <c r="S313" s="24">
        <v>2054.0</v>
      </c>
      <c r="T313" s="24">
        <v>1905.0</v>
      </c>
      <c r="U313" s="24">
        <v>17.4911</v>
      </c>
      <c r="V313" s="24">
        <v>9.9225</v>
      </c>
      <c r="W313" s="24">
        <v>3.6594</v>
      </c>
      <c r="X313" s="24">
        <v>1.3612</v>
      </c>
      <c r="Y313" s="24">
        <v>1.2624</v>
      </c>
      <c r="Z313" s="24">
        <v>100.0</v>
      </c>
      <c r="AA313" s="24">
        <v>21.0</v>
      </c>
      <c r="AB313" s="24">
        <v>4.8</v>
      </c>
      <c r="AC313" s="24">
        <v>41.3</v>
      </c>
      <c r="AD313" s="24">
        <v>7.3</v>
      </c>
      <c r="AE313" s="24">
        <v>1.188</v>
      </c>
      <c r="AF313" s="24">
        <v>1.779661</v>
      </c>
      <c r="AG313" s="24">
        <v>1.315068</v>
      </c>
      <c r="AH313" s="24">
        <v>1.166667</v>
      </c>
      <c r="AI313" s="24">
        <v>1.280952</v>
      </c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</row>
    <row r="314">
      <c r="A314" s="51" t="s">
        <v>53</v>
      </c>
      <c r="B314" s="51" t="s">
        <v>111</v>
      </c>
      <c r="C314" s="24">
        <v>2010.0</v>
      </c>
      <c r="D314" s="24">
        <v>0.04573</v>
      </c>
      <c r="E314" s="52">
        <v>14.3</v>
      </c>
      <c r="F314" s="53">
        <f t="shared" si="1"/>
        <v>0.7738060187</v>
      </c>
      <c r="G314" s="52">
        <v>2.7</v>
      </c>
      <c r="H314" s="54">
        <f t="shared" si="2"/>
        <v>0.1566684008</v>
      </c>
      <c r="I314" s="52">
        <v>7.3</v>
      </c>
      <c r="J314" s="54">
        <f t="shared" si="3"/>
        <v>0.5884036571</v>
      </c>
      <c r="K314" s="55">
        <v>1.47826087</v>
      </c>
      <c r="L314" s="54">
        <f t="shared" si="4"/>
        <v>0.09013447025</v>
      </c>
      <c r="M314" s="55">
        <v>1.239130435</v>
      </c>
      <c r="N314" s="56">
        <f t="shared" si="5"/>
        <v>0.06476048881</v>
      </c>
      <c r="O314" s="57">
        <v>0.569</v>
      </c>
      <c r="P314" s="24">
        <v>26394.0</v>
      </c>
      <c r="Q314" s="24">
        <v>14973.0</v>
      </c>
      <c r="R314" s="24">
        <v>5522.0</v>
      </c>
      <c r="S314" s="24">
        <v>2054.0</v>
      </c>
      <c r="T314" s="24">
        <v>1905.0</v>
      </c>
      <c r="U314" s="24">
        <v>17.4911</v>
      </c>
      <c r="V314" s="24">
        <v>9.9225</v>
      </c>
      <c r="W314" s="24">
        <v>3.6594</v>
      </c>
      <c r="X314" s="24">
        <v>1.3612</v>
      </c>
      <c r="Y314" s="24">
        <v>1.2624</v>
      </c>
      <c r="Z314" s="24">
        <v>100.4</v>
      </c>
      <c r="AA314" s="24">
        <v>21.2</v>
      </c>
      <c r="AB314" s="24">
        <v>4.9</v>
      </c>
      <c r="AC314" s="24">
        <v>41.7</v>
      </c>
      <c r="AD314" s="24">
        <v>7.2</v>
      </c>
      <c r="AE314" s="24">
        <v>1.1833</v>
      </c>
      <c r="AF314" s="24">
        <v>1.76259</v>
      </c>
      <c r="AG314" s="24">
        <v>1.333333</v>
      </c>
      <c r="AH314" s="24">
        <v>1.142857</v>
      </c>
      <c r="AI314" s="24">
        <v>1.268868</v>
      </c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</row>
    <row r="315">
      <c r="A315" s="51" t="s">
        <v>53</v>
      </c>
      <c r="B315" s="51" t="s">
        <v>111</v>
      </c>
      <c r="C315" s="24">
        <v>2011.0</v>
      </c>
      <c r="D315" s="24">
        <v>0.04705</v>
      </c>
      <c r="E315" s="52">
        <v>14.9</v>
      </c>
      <c r="F315" s="53">
        <f t="shared" si="1"/>
        <v>0.836206476</v>
      </c>
      <c r="G315" s="52">
        <v>2.4</v>
      </c>
      <c r="H315" s="54">
        <f t="shared" si="2"/>
        <v>0.141281326</v>
      </c>
      <c r="I315" s="52">
        <v>8.9</v>
      </c>
      <c r="J315" s="54">
        <f t="shared" si="3"/>
        <v>0.7434239607</v>
      </c>
      <c r="K315" s="55">
        <v>2.007042254</v>
      </c>
      <c r="L315" s="54">
        <f t="shared" si="4"/>
        <v>0.1241836309</v>
      </c>
      <c r="M315" s="55">
        <v>1.204225352</v>
      </c>
      <c r="N315" s="56">
        <f t="shared" si="5"/>
        <v>0.0647529094</v>
      </c>
      <c r="O315" s="57">
        <v>0.575</v>
      </c>
      <c r="P315" s="24">
        <v>26394.0</v>
      </c>
      <c r="Q315" s="24">
        <v>14973.0</v>
      </c>
      <c r="R315" s="24">
        <v>5522.0</v>
      </c>
      <c r="S315" s="24">
        <v>2054.0</v>
      </c>
      <c r="T315" s="24">
        <v>1905.0</v>
      </c>
      <c r="U315" s="24">
        <v>17.4911</v>
      </c>
      <c r="V315" s="24">
        <v>9.9225</v>
      </c>
      <c r="W315" s="24">
        <v>3.6594</v>
      </c>
      <c r="X315" s="24">
        <v>1.3612</v>
      </c>
      <c r="Y315" s="24">
        <v>1.2624</v>
      </c>
      <c r="Z315" s="24">
        <v>99.6</v>
      </c>
      <c r="AA315" s="24">
        <v>21.5</v>
      </c>
      <c r="AB315" s="24">
        <v>4.9</v>
      </c>
      <c r="AC315" s="24">
        <v>41.4</v>
      </c>
      <c r="AD315" s="24">
        <v>7.3</v>
      </c>
      <c r="AE315" s="24">
        <v>1.1928</v>
      </c>
      <c r="AF315" s="24">
        <v>1.775362</v>
      </c>
      <c r="AG315" s="24">
        <v>1.315068</v>
      </c>
      <c r="AH315" s="24">
        <v>1.142857</v>
      </c>
      <c r="AI315" s="24">
        <v>1.251163</v>
      </c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</row>
    <row r="316">
      <c r="A316" s="51" t="s">
        <v>53</v>
      </c>
      <c r="B316" s="51" t="s">
        <v>111</v>
      </c>
      <c r="C316" s="24">
        <v>2012.0</v>
      </c>
      <c r="D316" s="24">
        <v>0.03976</v>
      </c>
      <c r="E316" s="52">
        <v>15.8</v>
      </c>
      <c r="F316" s="53">
        <f t="shared" si="1"/>
        <v>0.7749573888</v>
      </c>
      <c r="G316" s="52">
        <v>2.9</v>
      </c>
      <c r="H316" s="54">
        <f t="shared" si="2"/>
        <v>0.1476988894</v>
      </c>
      <c r="I316" s="52">
        <v>8.2</v>
      </c>
      <c r="J316" s="54">
        <f t="shared" si="3"/>
        <v>0.5678518906</v>
      </c>
      <c r="K316" s="55">
        <v>1.4</v>
      </c>
      <c r="L316" s="54">
        <f t="shared" si="4"/>
        <v>0.06939925899</v>
      </c>
      <c r="M316" s="55">
        <v>1.525</v>
      </c>
      <c r="N316" s="56">
        <f t="shared" si="5"/>
        <v>0.06657849673</v>
      </c>
      <c r="O316" s="57">
        <v>0.55</v>
      </c>
      <c r="P316" s="24">
        <v>26394.0</v>
      </c>
      <c r="Q316" s="24">
        <v>14973.0</v>
      </c>
      <c r="R316" s="24">
        <v>5522.0</v>
      </c>
      <c r="S316" s="24">
        <v>2054.0</v>
      </c>
      <c r="T316" s="24">
        <v>1905.0</v>
      </c>
      <c r="U316" s="24">
        <v>17.4911</v>
      </c>
      <c r="V316" s="24">
        <v>9.9225</v>
      </c>
      <c r="W316" s="24">
        <v>3.6594</v>
      </c>
      <c r="X316" s="24">
        <v>1.3612</v>
      </c>
      <c r="Y316" s="24">
        <v>1.2624</v>
      </c>
      <c r="Z316" s="24">
        <v>96.3</v>
      </c>
      <c r="AA316" s="24">
        <v>21.0</v>
      </c>
      <c r="AB316" s="24">
        <v>5.1</v>
      </c>
      <c r="AC316" s="24">
        <v>42.2</v>
      </c>
      <c r="AD316" s="24">
        <v>7.7</v>
      </c>
      <c r="AE316" s="24">
        <v>1.2336</v>
      </c>
      <c r="AF316" s="24">
        <v>1.741706</v>
      </c>
      <c r="AG316" s="24">
        <v>1.246753</v>
      </c>
      <c r="AH316" s="24">
        <v>1.098039</v>
      </c>
      <c r="AI316" s="24">
        <v>1.280952</v>
      </c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</row>
    <row r="317">
      <c r="A317" s="51" t="s">
        <v>53</v>
      </c>
      <c r="B317" s="51" t="s">
        <v>111</v>
      </c>
      <c r="C317" s="24">
        <v>2013.0</v>
      </c>
      <c r="D317" s="24">
        <v>0.04506</v>
      </c>
      <c r="E317" s="52">
        <v>14.8</v>
      </c>
      <c r="F317" s="53">
        <f t="shared" si="1"/>
        <v>0.807601368</v>
      </c>
      <c r="G317" s="52">
        <v>2.3</v>
      </c>
      <c r="H317" s="54">
        <f t="shared" si="2"/>
        <v>0.1261476554</v>
      </c>
      <c r="I317" s="52">
        <v>7.8</v>
      </c>
      <c r="J317" s="54">
        <f t="shared" si="3"/>
        <v>0.6136079475</v>
      </c>
      <c r="K317" s="55">
        <v>1.720588235</v>
      </c>
      <c r="L317" s="54">
        <f t="shared" si="4"/>
        <v>0.09542115856</v>
      </c>
      <c r="M317" s="55">
        <v>1.367647059</v>
      </c>
      <c r="N317" s="56">
        <f t="shared" si="5"/>
        <v>0.06766794519</v>
      </c>
      <c r="O317" s="57">
        <v>0.535</v>
      </c>
      <c r="P317" s="24">
        <v>26394.0</v>
      </c>
      <c r="Q317" s="24">
        <v>14973.0</v>
      </c>
      <c r="R317" s="24">
        <v>5522.0</v>
      </c>
      <c r="S317" s="24">
        <v>2054.0</v>
      </c>
      <c r="T317" s="24">
        <v>1905.0</v>
      </c>
      <c r="U317" s="24">
        <v>17.4911</v>
      </c>
      <c r="V317" s="24">
        <v>9.9225</v>
      </c>
      <c r="W317" s="24">
        <v>3.6594</v>
      </c>
      <c r="X317" s="24">
        <v>1.3612</v>
      </c>
      <c r="Y317" s="24">
        <v>1.2624</v>
      </c>
      <c r="Z317" s="24">
        <v>98.1</v>
      </c>
      <c r="AA317" s="24">
        <v>22.1</v>
      </c>
      <c r="AB317" s="24">
        <v>5.1</v>
      </c>
      <c r="AC317" s="24">
        <v>42.1</v>
      </c>
      <c r="AD317" s="24">
        <v>7.8</v>
      </c>
      <c r="AE317" s="24">
        <v>1.211</v>
      </c>
      <c r="AF317" s="24">
        <v>1.745843</v>
      </c>
      <c r="AG317" s="24">
        <v>1.230769</v>
      </c>
      <c r="AH317" s="24">
        <v>1.098039</v>
      </c>
      <c r="AI317" s="24">
        <v>1.217195</v>
      </c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</row>
    <row r="318">
      <c r="A318" s="51" t="s">
        <v>53</v>
      </c>
      <c r="B318" s="51" t="s">
        <v>111</v>
      </c>
      <c r="C318" s="24">
        <v>2014.0</v>
      </c>
      <c r="D318" s="24">
        <v>0.03579</v>
      </c>
      <c r="E318" s="52">
        <v>6.5</v>
      </c>
      <c r="F318" s="53">
        <f t="shared" si="1"/>
        <v>0.273625287</v>
      </c>
      <c r="G318" s="52">
        <v>1.5</v>
      </c>
      <c r="H318" s="54">
        <f t="shared" si="2"/>
        <v>0.065642099</v>
      </c>
      <c r="I318" s="52">
        <v>6.6</v>
      </c>
      <c r="J318" s="54">
        <f t="shared" si="3"/>
        <v>0.4065977566</v>
      </c>
      <c r="K318" s="55">
        <v>1.194444444</v>
      </c>
      <c r="L318" s="54">
        <f t="shared" si="4"/>
        <v>0.05329765177</v>
      </c>
      <c r="M318" s="55">
        <v>1.111111111</v>
      </c>
      <c r="N318" s="56">
        <f t="shared" si="5"/>
        <v>0.0473815459</v>
      </c>
      <c r="O318" s="57">
        <v>0.467</v>
      </c>
      <c r="P318" s="24">
        <v>26394.0</v>
      </c>
      <c r="Q318" s="24">
        <v>14973.0</v>
      </c>
      <c r="R318" s="24">
        <v>5522.0</v>
      </c>
      <c r="S318" s="24">
        <v>2054.0</v>
      </c>
      <c r="T318" s="24">
        <v>1905.0</v>
      </c>
      <c r="U318" s="24">
        <v>17.4911</v>
      </c>
      <c r="V318" s="24">
        <v>9.9225</v>
      </c>
      <c r="W318" s="24">
        <v>3.6594</v>
      </c>
      <c r="X318" s="24">
        <v>1.3612</v>
      </c>
      <c r="Y318" s="24">
        <v>1.2624</v>
      </c>
      <c r="Z318" s="24">
        <v>101.0</v>
      </c>
      <c r="AA318" s="24">
        <v>22.0</v>
      </c>
      <c r="AB318" s="24">
        <v>4.7</v>
      </c>
      <c r="AC318" s="24">
        <v>42.7</v>
      </c>
      <c r="AD318" s="24">
        <v>7.7</v>
      </c>
      <c r="AE318" s="24">
        <v>1.1762</v>
      </c>
      <c r="AF318" s="24">
        <v>1.721311</v>
      </c>
      <c r="AG318" s="24">
        <v>1.246753</v>
      </c>
      <c r="AH318" s="24">
        <v>1.191489</v>
      </c>
      <c r="AI318" s="24">
        <v>1.222727</v>
      </c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</row>
    <row r="319">
      <c r="A319" s="51" t="s">
        <v>53</v>
      </c>
      <c r="B319" s="51" t="s">
        <v>111</v>
      </c>
      <c r="C319" s="24">
        <v>2015.0</v>
      </c>
      <c r="D319" s="24">
        <v>0.06229</v>
      </c>
      <c r="E319" s="52">
        <v>7.1</v>
      </c>
      <c r="F319" s="53">
        <f t="shared" si="1"/>
        <v>0.525403692</v>
      </c>
      <c r="G319" s="52">
        <v>1.6</v>
      </c>
      <c r="H319" s="54">
        <f t="shared" si="2"/>
        <v>0.1218618637</v>
      </c>
      <c r="I319" s="52">
        <v>6.2</v>
      </c>
      <c r="J319" s="54">
        <f t="shared" si="3"/>
        <v>0.6555556571</v>
      </c>
      <c r="K319" s="55">
        <v>0.978723404</v>
      </c>
      <c r="L319" s="54">
        <f t="shared" si="4"/>
        <v>0.07600789873</v>
      </c>
      <c r="M319" s="55">
        <v>0.361702128</v>
      </c>
      <c r="N319" s="56">
        <f t="shared" si="5"/>
        <v>0.02628550399</v>
      </c>
      <c r="O319" s="57">
        <v>0.521</v>
      </c>
      <c r="P319" s="24">
        <v>26394.0</v>
      </c>
      <c r="Q319" s="24">
        <v>14973.0</v>
      </c>
      <c r="R319" s="24">
        <v>5522.0</v>
      </c>
      <c r="S319" s="24">
        <v>2054.0</v>
      </c>
      <c r="T319" s="24">
        <v>1905.0</v>
      </c>
      <c r="U319" s="24">
        <v>17.4911</v>
      </c>
      <c r="V319" s="24">
        <v>9.9225</v>
      </c>
      <c r="W319" s="24">
        <v>3.6594</v>
      </c>
      <c r="X319" s="24">
        <v>1.3612</v>
      </c>
      <c r="Y319" s="24">
        <v>1.2624</v>
      </c>
      <c r="Z319" s="24">
        <v>100.0</v>
      </c>
      <c r="AA319" s="24">
        <v>22.0</v>
      </c>
      <c r="AB319" s="24">
        <v>4.8</v>
      </c>
      <c r="AC319" s="24">
        <v>43.3</v>
      </c>
      <c r="AD319" s="24">
        <v>7.7</v>
      </c>
      <c r="AE319" s="24">
        <v>1.188</v>
      </c>
      <c r="AF319" s="24">
        <v>1.69746</v>
      </c>
      <c r="AG319" s="24">
        <v>1.246753</v>
      </c>
      <c r="AH319" s="24">
        <v>1.166667</v>
      </c>
      <c r="AI319" s="24">
        <v>1.222727</v>
      </c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</row>
    <row r="320">
      <c r="A320" s="51" t="s">
        <v>53</v>
      </c>
      <c r="B320" s="51" t="s">
        <v>111</v>
      </c>
      <c r="C320" s="24">
        <v>2016.0</v>
      </c>
      <c r="D320" s="24">
        <v>0.02518</v>
      </c>
      <c r="E320" s="52">
        <v>3.2</v>
      </c>
      <c r="F320" s="53">
        <f t="shared" si="1"/>
        <v>0.0932103168</v>
      </c>
      <c r="G320" s="52">
        <v>1.6</v>
      </c>
      <c r="H320" s="54">
        <f t="shared" si="2"/>
        <v>0.04859852806</v>
      </c>
      <c r="I320" s="52">
        <v>3.9</v>
      </c>
      <c r="J320" s="54">
        <f t="shared" si="3"/>
        <v>0.1647910086</v>
      </c>
      <c r="K320" s="55">
        <v>1.105263158</v>
      </c>
      <c r="L320" s="54">
        <f t="shared" si="4"/>
        <v>0.03425294905</v>
      </c>
      <c r="M320" s="55">
        <v>0.394736842</v>
      </c>
      <c r="N320" s="56">
        <f t="shared" si="5"/>
        <v>0.01113221052</v>
      </c>
      <c r="O320" s="57">
        <v>0.491</v>
      </c>
      <c r="P320" s="24">
        <v>26394.0</v>
      </c>
      <c r="Q320" s="24">
        <v>14973.0</v>
      </c>
      <c r="R320" s="24">
        <v>5522.0</v>
      </c>
      <c r="S320" s="24">
        <v>2054.0</v>
      </c>
      <c r="T320" s="24">
        <v>1905.0</v>
      </c>
      <c r="U320" s="24">
        <v>17.4911</v>
      </c>
      <c r="V320" s="24">
        <v>9.9225</v>
      </c>
      <c r="W320" s="24">
        <v>3.6594</v>
      </c>
      <c r="X320" s="24">
        <v>1.3612</v>
      </c>
      <c r="Y320" s="24">
        <v>1.2624</v>
      </c>
      <c r="Z320" s="24">
        <v>102.7</v>
      </c>
      <c r="AA320" s="24">
        <v>22.3</v>
      </c>
      <c r="AB320" s="24">
        <v>5.0</v>
      </c>
      <c r="AC320" s="24">
        <v>43.8</v>
      </c>
      <c r="AD320" s="24">
        <v>7.8</v>
      </c>
      <c r="AE320" s="24">
        <v>1.1568</v>
      </c>
      <c r="AF320" s="24">
        <v>1.678082</v>
      </c>
      <c r="AG320" s="24">
        <v>1.230769</v>
      </c>
      <c r="AH320" s="24">
        <v>1.12</v>
      </c>
      <c r="AI320" s="24">
        <v>1.206278</v>
      </c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</row>
    <row r="321">
      <c r="A321" s="51" t="s">
        <v>41</v>
      </c>
      <c r="B321" s="51" t="s">
        <v>104</v>
      </c>
      <c r="C321" s="24">
        <v>1997.0</v>
      </c>
      <c r="D321" s="24">
        <v>0.05275</v>
      </c>
      <c r="E321" s="52">
        <v>7.6</v>
      </c>
      <c r="F321" s="53">
        <f t="shared" si="1"/>
        <v>0.4915034</v>
      </c>
      <c r="G321" s="52">
        <v>1.3</v>
      </c>
      <c r="H321" s="54">
        <f t="shared" si="2"/>
        <v>0.08384850403</v>
      </c>
      <c r="I321" s="52">
        <v>1.9</v>
      </c>
      <c r="J321" s="54">
        <f t="shared" si="3"/>
        <v>0.1792344722</v>
      </c>
      <c r="K321" s="55">
        <v>1.035211268</v>
      </c>
      <c r="L321" s="54">
        <f t="shared" si="4"/>
        <v>0.06393062405</v>
      </c>
      <c r="M321" s="55">
        <v>0.485915493</v>
      </c>
      <c r="N321" s="56">
        <f t="shared" si="5"/>
        <v>0.02929375892</v>
      </c>
      <c r="O321" s="57">
        <v>0.544</v>
      </c>
      <c r="P321" s="24">
        <v>33643.0</v>
      </c>
      <c r="Q321" s="24">
        <v>7047.0</v>
      </c>
      <c r="R321" s="24">
        <v>6306.0</v>
      </c>
      <c r="S321" s="24">
        <v>640.0</v>
      </c>
      <c r="T321" s="24">
        <v>1944.0</v>
      </c>
      <c r="U321" s="24">
        <v>24.9948</v>
      </c>
      <c r="V321" s="24">
        <v>5.2355</v>
      </c>
      <c r="W321" s="24">
        <v>4.685</v>
      </c>
      <c r="X321" s="24">
        <v>0.4755</v>
      </c>
      <c r="Y321" s="24">
        <v>1.4443</v>
      </c>
      <c r="Z321" s="24">
        <v>96.9</v>
      </c>
      <c r="AA321" s="24">
        <v>22.0</v>
      </c>
      <c r="AB321" s="24">
        <v>4.9</v>
      </c>
      <c r="AC321" s="24">
        <v>41.1</v>
      </c>
      <c r="AD321" s="24">
        <v>8.2</v>
      </c>
      <c r="AE321" s="24">
        <v>1.226</v>
      </c>
      <c r="AF321" s="24">
        <v>1.788321</v>
      </c>
      <c r="AG321" s="24">
        <v>1.170732</v>
      </c>
      <c r="AH321" s="24">
        <v>1.142857</v>
      </c>
      <c r="AI321" s="24">
        <v>1.222727</v>
      </c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</row>
    <row r="322">
      <c r="A322" s="51" t="s">
        <v>41</v>
      </c>
      <c r="B322" s="51" t="s">
        <v>104</v>
      </c>
      <c r="C322" s="24">
        <v>1998.0</v>
      </c>
      <c r="D322" s="24">
        <v>0.05869</v>
      </c>
      <c r="E322" s="52">
        <v>15.4</v>
      </c>
      <c r="F322" s="53">
        <f t="shared" si="1"/>
        <v>1.12318457</v>
      </c>
      <c r="G322" s="52">
        <v>2.5</v>
      </c>
      <c r="H322" s="54">
        <f t="shared" si="2"/>
        <v>0.1794046191</v>
      </c>
      <c r="I322" s="52">
        <v>3.1</v>
      </c>
      <c r="J322" s="54">
        <f t="shared" si="3"/>
        <v>0.3222292519</v>
      </c>
      <c r="K322" s="55">
        <v>1.405063291</v>
      </c>
      <c r="L322" s="54">
        <f t="shared" si="4"/>
        <v>0.09424360485</v>
      </c>
      <c r="M322" s="55">
        <v>0.759493671</v>
      </c>
      <c r="N322" s="56">
        <f t="shared" si="5"/>
        <v>0.04894474095</v>
      </c>
      <c r="O322" s="57">
        <v>0.548</v>
      </c>
      <c r="P322" s="24">
        <v>33643.0</v>
      </c>
      <c r="Q322" s="24">
        <v>7047.0</v>
      </c>
      <c r="R322" s="24">
        <v>6306.0</v>
      </c>
      <c r="S322" s="24">
        <v>640.0</v>
      </c>
      <c r="T322" s="24">
        <v>1944.0</v>
      </c>
      <c r="U322" s="24">
        <v>24.9948</v>
      </c>
      <c r="V322" s="24">
        <v>5.2355</v>
      </c>
      <c r="W322" s="24">
        <v>4.685</v>
      </c>
      <c r="X322" s="24">
        <v>0.4755</v>
      </c>
      <c r="Y322" s="24">
        <v>1.4443</v>
      </c>
      <c r="Z322" s="24">
        <v>95.6</v>
      </c>
      <c r="AA322" s="24">
        <v>22.0</v>
      </c>
      <c r="AB322" s="24">
        <v>5.1</v>
      </c>
      <c r="AC322" s="24">
        <v>41.5</v>
      </c>
      <c r="AD322" s="24">
        <v>8.4</v>
      </c>
      <c r="AE322" s="24">
        <v>1.2427</v>
      </c>
      <c r="AF322" s="24">
        <v>1.771084</v>
      </c>
      <c r="AG322" s="24">
        <v>1.142857</v>
      </c>
      <c r="AH322" s="24">
        <v>1.098039</v>
      </c>
      <c r="AI322" s="24">
        <v>1.222727</v>
      </c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</row>
    <row r="323">
      <c r="A323" s="51" t="s">
        <v>41</v>
      </c>
      <c r="B323" s="51" t="s">
        <v>104</v>
      </c>
      <c r="C323" s="24">
        <v>1999.0</v>
      </c>
      <c r="D323" s="24">
        <v>0.03715</v>
      </c>
      <c r="E323" s="52">
        <v>19.9</v>
      </c>
      <c r="F323" s="53">
        <f t="shared" si="1"/>
        <v>0.9587787165</v>
      </c>
      <c r="G323" s="52">
        <v>3.8</v>
      </c>
      <c r="H323" s="54">
        <f t="shared" si="2"/>
        <v>0.1834528149</v>
      </c>
      <c r="I323" s="52">
        <v>5.3</v>
      </c>
      <c r="J323" s="54">
        <f t="shared" si="3"/>
        <v>0.3470451581</v>
      </c>
      <c r="K323" s="55">
        <v>2.16</v>
      </c>
      <c r="L323" s="54">
        <f t="shared" si="4"/>
        <v>0.09170741711</v>
      </c>
      <c r="M323" s="55">
        <v>1.5</v>
      </c>
      <c r="N323" s="56">
        <f t="shared" si="5"/>
        <v>0.062412</v>
      </c>
      <c r="O323" s="57">
        <v>0.549</v>
      </c>
      <c r="P323" s="24">
        <v>33643.0</v>
      </c>
      <c r="Q323" s="24">
        <v>7047.0</v>
      </c>
      <c r="R323" s="24">
        <v>6306.0</v>
      </c>
      <c r="S323" s="24">
        <v>640.0</v>
      </c>
      <c r="T323" s="24">
        <v>1944.0</v>
      </c>
      <c r="U323" s="24">
        <v>24.9948</v>
      </c>
      <c r="V323" s="24">
        <v>5.2355</v>
      </c>
      <c r="W323" s="24">
        <v>4.685</v>
      </c>
      <c r="X323" s="24">
        <v>0.4755</v>
      </c>
      <c r="Y323" s="24">
        <v>1.4443</v>
      </c>
      <c r="Z323" s="24">
        <v>91.6</v>
      </c>
      <c r="AA323" s="24">
        <v>20.7</v>
      </c>
      <c r="AB323" s="24">
        <v>5.0</v>
      </c>
      <c r="AC323" s="24">
        <v>41.7</v>
      </c>
      <c r="AD323" s="24">
        <v>8.4</v>
      </c>
      <c r="AE323" s="24">
        <v>1.2969</v>
      </c>
      <c r="AF323" s="24">
        <v>1.76259</v>
      </c>
      <c r="AG323" s="24">
        <v>1.142857</v>
      </c>
      <c r="AH323" s="24">
        <v>1.12</v>
      </c>
      <c r="AI323" s="24">
        <v>1.299517</v>
      </c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</row>
    <row r="324">
      <c r="A324" s="51" t="s">
        <v>41</v>
      </c>
      <c r="B324" s="51" t="s">
        <v>104</v>
      </c>
      <c r="C324" s="24">
        <v>2000.0</v>
      </c>
      <c r="D324" s="24">
        <v>0.04903</v>
      </c>
      <c r="E324" s="52">
        <v>22.5</v>
      </c>
      <c r="F324" s="53">
        <f t="shared" si="1"/>
        <v>1.344218738</v>
      </c>
      <c r="G324" s="52">
        <v>4.9</v>
      </c>
      <c r="H324" s="54">
        <f t="shared" si="2"/>
        <v>0.2898046707</v>
      </c>
      <c r="I324" s="52">
        <v>6.3</v>
      </c>
      <c r="J324" s="54">
        <f t="shared" si="3"/>
        <v>0.5292155081</v>
      </c>
      <c r="K324" s="55">
        <v>2.409090909</v>
      </c>
      <c r="L324" s="54">
        <f t="shared" si="4"/>
        <v>0.143535481</v>
      </c>
      <c r="M324" s="55">
        <v>1.409090909</v>
      </c>
      <c r="N324" s="56">
        <f t="shared" si="5"/>
        <v>0.07440216251</v>
      </c>
      <c r="O324" s="57">
        <v>0.546</v>
      </c>
      <c r="P324" s="24">
        <v>33643.0</v>
      </c>
      <c r="Q324" s="24">
        <v>7047.0</v>
      </c>
      <c r="R324" s="24">
        <v>6306.0</v>
      </c>
      <c r="S324" s="24">
        <v>640.0</v>
      </c>
      <c r="T324" s="24">
        <v>1944.0</v>
      </c>
      <c r="U324" s="24">
        <v>24.9948</v>
      </c>
      <c r="V324" s="24">
        <v>5.2355</v>
      </c>
      <c r="W324" s="24">
        <v>4.685</v>
      </c>
      <c r="X324" s="24">
        <v>0.4755</v>
      </c>
      <c r="Y324" s="24">
        <v>1.4443</v>
      </c>
      <c r="Z324" s="24">
        <v>97.5</v>
      </c>
      <c r="AA324" s="24">
        <v>22.3</v>
      </c>
      <c r="AB324" s="24">
        <v>5.2</v>
      </c>
      <c r="AC324" s="24">
        <v>42.9</v>
      </c>
      <c r="AD324" s="24">
        <v>7.9</v>
      </c>
      <c r="AE324" s="24">
        <v>1.2185</v>
      </c>
      <c r="AF324" s="24">
        <v>1.713287</v>
      </c>
      <c r="AG324" s="24">
        <v>1.21519</v>
      </c>
      <c r="AH324" s="24">
        <v>1.076923</v>
      </c>
      <c r="AI324" s="24">
        <v>1.206278</v>
      </c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</row>
    <row r="325">
      <c r="A325" s="51" t="s">
        <v>41</v>
      </c>
      <c r="B325" s="51" t="s">
        <v>104</v>
      </c>
      <c r="C325" s="24">
        <v>2001.0</v>
      </c>
      <c r="D325" s="24">
        <v>0.05052</v>
      </c>
      <c r="E325" s="52">
        <v>28.5</v>
      </c>
      <c r="F325" s="53">
        <f t="shared" si="1"/>
        <v>1.804382424</v>
      </c>
      <c r="G325" s="52">
        <v>5.0</v>
      </c>
      <c r="H325" s="54">
        <f t="shared" si="2"/>
        <v>0.311694507</v>
      </c>
      <c r="I325" s="52">
        <v>5.9</v>
      </c>
      <c r="J325" s="54">
        <f t="shared" si="3"/>
        <v>0.515482376</v>
      </c>
      <c r="K325" s="55">
        <v>2.514705882</v>
      </c>
      <c r="L325" s="54">
        <f t="shared" si="4"/>
        <v>0.1563605136</v>
      </c>
      <c r="M325" s="55">
        <v>0.948529412</v>
      </c>
      <c r="N325" s="56">
        <f t="shared" si="5"/>
        <v>0.05063215293</v>
      </c>
      <c r="O325" s="57">
        <v>0.552</v>
      </c>
      <c r="P325" s="24">
        <v>33643.0</v>
      </c>
      <c r="Q325" s="24">
        <v>7047.0</v>
      </c>
      <c r="R325" s="24">
        <v>6306.0</v>
      </c>
      <c r="S325" s="24">
        <v>640.0</v>
      </c>
      <c r="T325" s="24">
        <v>1944.0</v>
      </c>
      <c r="U325" s="24">
        <v>24.9948</v>
      </c>
      <c r="V325" s="24">
        <v>5.2355</v>
      </c>
      <c r="W325" s="24">
        <v>4.685</v>
      </c>
      <c r="X325" s="24">
        <v>0.4755</v>
      </c>
      <c r="Y325" s="24">
        <v>1.4443</v>
      </c>
      <c r="Z325" s="24">
        <v>94.8</v>
      </c>
      <c r="AA325" s="24">
        <v>21.8</v>
      </c>
      <c r="AB325" s="24">
        <v>5.3</v>
      </c>
      <c r="AC325" s="24">
        <v>42.5</v>
      </c>
      <c r="AD325" s="24">
        <v>7.8</v>
      </c>
      <c r="AE325" s="24">
        <v>1.2532</v>
      </c>
      <c r="AF325" s="24">
        <v>1.729412</v>
      </c>
      <c r="AG325" s="24">
        <v>1.230769</v>
      </c>
      <c r="AH325" s="24">
        <v>1.056604</v>
      </c>
      <c r="AI325" s="24">
        <v>1.233945</v>
      </c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</row>
    <row r="326">
      <c r="A326" s="51" t="s">
        <v>41</v>
      </c>
      <c r="B326" s="51" t="s">
        <v>104</v>
      </c>
      <c r="C326" s="24">
        <v>2002.0</v>
      </c>
      <c r="D326" s="24">
        <v>0.05944</v>
      </c>
      <c r="E326" s="52">
        <v>25.2</v>
      </c>
      <c r="F326" s="53">
        <f t="shared" si="1"/>
        <v>1.863372672</v>
      </c>
      <c r="G326" s="52">
        <v>5.5</v>
      </c>
      <c r="H326" s="54">
        <f t="shared" si="2"/>
        <v>0.4015594321</v>
      </c>
      <c r="I326" s="52">
        <v>5.5</v>
      </c>
      <c r="J326" s="54">
        <f t="shared" si="3"/>
        <v>0.5667128777</v>
      </c>
      <c r="K326" s="55">
        <v>2.2125</v>
      </c>
      <c r="L326" s="54">
        <f t="shared" si="4"/>
        <v>0.161859662</v>
      </c>
      <c r="M326" s="55">
        <v>0.65625</v>
      </c>
      <c r="N326" s="56">
        <f t="shared" si="5"/>
        <v>0.04200807392</v>
      </c>
      <c r="O326" s="57">
        <v>0.544</v>
      </c>
      <c r="P326" s="24">
        <v>33643.0</v>
      </c>
      <c r="Q326" s="24">
        <v>7047.0</v>
      </c>
      <c r="R326" s="24">
        <v>6306.0</v>
      </c>
      <c r="S326" s="24">
        <v>640.0</v>
      </c>
      <c r="T326" s="24">
        <v>1944.0</v>
      </c>
      <c r="U326" s="24">
        <v>24.9948</v>
      </c>
      <c r="V326" s="24">
        <v>5.2355</v>
      </c>
      <c r="W326" s="24">
        <v>4.685</v>
      </c>
      <c r="X326" s="24">
        <v>0.4755</v>
      </c>
      <c r="Y326" s="24">
        <v>1.4443</v>
      </c>
      <c r="Z326" s="24">
        <v>95.5</v>
      </c>
      <c r="AA326" s="24">
        <v>21.9</v>
      </c>
      <c r="AB326" s="24">
        <v>5.2</v>
      </c>
      <c r="AC326" s="24">
        <v>42.4</v>
      </c>
      <c r="AD326" s="24">
        <v>7.8</v>
      </c>
      <c r="AE326" s="24">
        <v>1.244</v>
      </c>
      <c r="AF326" s="24">
        <v>1.733491</v>
      </c>
      <c r="AG326" s="24">
        <v>1.230769</v>
      </c>
      <c r="AH326" s="24">
        <v>1.076923</v>
      </c>
      <c r="AI326" s="24">
        <v>1.228311</v>
      </c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8"/>
    </row>
    <row r="327">
      <c r="A327" s="51" t="s">
        <v>41</v>
      </c>
      <c r="B327" s="51" t="s">
        <v>104</v>
      </c>
      <c r="C327" s="24">
        <v>2003.0</v>
      </c>
      <c r="D327" s="24">
        <v>0.06092</v>
      </c>
      <c r="E327" s="52">
        <v>30.0</v>
      </c>
      <c r="F327" s="53">
        <f t="shared" si="1"/>
        <v>2.28303792</v>
      </c>
      <c r="G327" s="52">
        <v>5.9</v>
      </c>
      <c r="H327" s="54">
        <f t="shared" si="2"/>
        <v>0.4497030148</v>
      </c>
      <c r="I327" s="52">
        <v>6.9</v>
      </c>
      <c r="J327" s="54">
        <f t="shared" si="3"/>
        <v>0.730392061</v>
      </c>
      <c r="K327" s="55">
        <v>3.31097561</v>
      </c>
      <c r="L327" s="54">
        <f t="shared" si="4"/>
        <v>0.2451094544</v>
      </c>
      <c r="M327" s="55">
        <v>1.225609756</v>
      </c>
      <c r="N327" s="56">
        <f t="shared" si="5"/>
        <v>0.0836238439</v>
      </c>
      <c r="O327" s="57">
        <v>0.55</v>
      </c>
      <c r="P327" s="24">
        <v>33643.0</v>
      </c>
      <c r="Q327" s="24">
        <v>7047.0</v>
      </c>
      <c r="R327" s="24">
        <v>6306.0</v>
      </c>
      <c r="S327" s="24">
        <v>640.0</v>
      </c>
      <c r="T327" s="24">
        <v>1944.0</v>
      </c>
      <c r="U327" s="24">
        <v>24.9948</v>
      </c>
      <c r="V327" s="24">
        <v>5.2355</v>
      </c>
      <c r="W327" s="24">
        <v>4.685</v>
      </c>
      <c r="X327" s="24">
        <v>0.4755</v>
      </c>
      <c r="Y327" s="24">
        <v>1.4443</v>
      </c>
      <c r="Z327" s="24">
        <v>95.1</v>
      </c>
      <c r="AA327" s="24">
        <v>21.5</v>
      </c>
      <c r="AB327" s="24">
        <v>5.0</v>
      </c>
      <c r="AC327" s="24">
        <v>42.3</v>
      </c>
      <c r="AD327" s="24">
        <v>7.9</v>
      </c>
      <c r="AE327" s="24">
        <v>1.2492</v>
      </c>
      <c r="AF327" s="24">
        <v>1.737589</v>
      </c>
      <c r="AG327" s="24">
        <v>1.21519</v>
      </c>
      <c r="AH327" s="24">
        <v>1.12</v>
      </c>
      <c r="AI327" s="24">
        <v>1.251163</v>
      </c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</row>
    <row r="328">
      <c r="A328" s="51" t="s">
        <v>41</v>
      </c>
      <c r="B328" s="51" t="s">
        <v>104</v>
      </c>
      <c r="C328" s="24">
        <v>2004.0</v>
      </c>
      <c r="D328" s="24">
        <v>0.04829</v>
      </c>
      <c r="E328" s="52">
        <v>24.0</v>
      </c>
      <c r="F328" s="53">
        <f t="shared" si="1"/>
        <v>1.474081224</v>
      </c>
      <c r="G328" s="52">
        <v>5.1</v>
      </c>
      <c r="H328" s="54">
        <f t="shared" si="2"/>
        <v>0.3110284582</v>
      </c>
      <c r="I328" s="52">
        <v>5.5</v>
      </c>
      <c r="J328" s="54">
        <f t="shared" si="3"/>
        <v>0.4625884051</v>
      </c>
      <c r="K328" s="55">
        <v>2.584615385</v>
      </c>
      <c r="L328" s="54">
        <f t="shared" si="4"/>
        <v>0.1516691726</v>
      </c>
      <c r="M328" s="55">
        <v>0.646153846</v>
      </c>
      <c r="N328" s="56">
        <f t="shared" si="5"/>
        <v>0.03426185752</v>
      </c>
      <c r="O328" s="57">
        <v>0.551</v>
      </c>
      <c r="P328" s="24">
        <v>33643.0</v>
      </c>
      <c r="Q328" s="24">
        <v>7047.0</v>
      </c>
      <c r="R328" s="24">
        <v>6306.0</v>
      </c>
      <c r="S328" s="24">
        <v>640.0</v>
      </c>
      <c r="T328" s="24">
        <v>1944.0</v>
      </c>
      <c r="U328" s="24">
        <v>24.9948</v>
      </c>
      <c r="V328" s="24">
        <v>5.2355</v>
      </c>
      <c r="W328" s="24">
        <v>4.685</v>
      </c>
      <c r="X328" s="24">
        <v>0.4755</v>
      </c>
      <c r="Y328" s="24">
        <v>1.4443</v>
      </c>
      <c r="Z328" s="24">
        <v>93.4</v>
      </c>
      <c r="AA328" s="24">
        <v>21.3</v>
      </c>
      <c r="AB328" s="24">
        <v>5.1</v>
      </c>
      <c r="AC328" s="24">
        <v>42.2</v>
      </c>
      <c r="AD328" s="24">
        <v>7.9</v>
      </c>
      <c r="AE328" s="24">
        <v>1.2719</v>
      </c>
      <c r="AF328" s="24">
        <v>1.741706</v>
      </c>
      <c r="AG328" s="24">
        <v>1.21519</v>
      </c>
      <c r="AH328" s="24">
        <v>1.098039</v>
      </c>
      <c r="AI328" s="24">
        <v>1.262911</v>
      </c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</row>
    <row r="329">
      <c r="A329" s="51" t="s">
        <v>41</v>
      </c>
      <c r="B329" s="51" t="s">
        <v>104</v>
      </c>
      <c r="C329" s="24">
        <v>2005.0</v>
      </c>
      <c r="D329" s="24">
        <v>0.04903</v>
      </c>
      <c r="E329" s="52">
        <v>27.6</v>
      </c>
      <c r="F329" s="53">
        <f t="shared" si="1"/>
        <v>1.653915262</v>
      </c>
      <c r="G329" s="52">
        <v>6.0</v>
      </c>
      <c r="H329" s="54">
        <f t="shared" si="2"/>
        <v>0.371523158</v>
      </c>
      <c r="I329" s="52">
        <v>5.9</v>
      </c>
      <c r="J329" s="54">
        <f t="shared" si="3"/>
        <v>0.50744306</v>
      </c>
      <c r="K329" s="55">
        <v>1.954545455</v>
      </c>
      <c r="L329" s="54">
        <f t="shared" si="4"/>
        <v>0.1226641455</v>
      </c>
      <c r="M329" s="55">
        <v>1.204545455</v>
      </c>
      <c r="N329" s="56">
        <f t="shared" si="5"/>
        <v>0.06749583574</v>
      </c>
      <c r="O329" s="57">
        <v>0.563</v>
      </c>
      <c r="P329" s="24">
        <v>33643.0</v>
      </c>
      <c r="Q329" s="24">
        <v>7047.0</v>
      </c>
      <c r="R329" s="24">
        <v>6306.0</v>
      </c>
      <c r="S329" s="24">
        <v>640.0</v>
      </c>
      <c r="T329" s="24">
        <v>1944.0</v>
      </c>
      <c r="U329" s="24">
        <v>24.9948</v>
      </c>
      <c r="V329" s="24">
        <v>5.2355</v>
      </c>
      <c r="W329" s="24">
        <v>4.685</v>
      </c>
      <c r="X329" s="24">
        <v>0.4755</v>
      </c>
      <c r="Y329" s="24">
        <v>1.4443</v>
      </c>
      <c r="Z329" s="24">
        <v>97.2</v>
      </c>
      <c r="AA329" s="24">
        <v>21.3</v>
      </c>
      <c r="AB329" s="24">
        <v>4.9</v>
      </c>
      <c r="AC329" s="24">
        <v>41.9</v>
      </c>
      <c r="AD329" s="24">
        <v>7.5</v>
      </c>
      <c r="AE329" s="24">
        <v>1.2222</v>
      </c>
      <c r="AF329" s="24">
        <v>1.754177</v>
      </c>
      <c r="AG329" s="24">
        <v>1.28</v>
      </c>
      <c r="AH329" s="24">
        <v>1.142857</v>
      </c>
      <c r="AI329" s="24">
        <v>1.262911</v>
      </c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</row>
    <row r="330">
      <c r="A330" s="51" t="s">
        <v>41</v>
      </c>
      <c r="B330" s="51" t="s">
        <v>104</v>
      </c>
      <c r="C330" s="24">
        <v>2006.0</v>
      </c>
      <c r="D330" s="24">
        <v>0.05944</v>
      </c>
      <c r="E330" s="52">
        <v>35.4</v>
      </c>
      <c r="F330" s="53">
        <f t="shared" si="1"/>
        <v>2.576984347</v>
      </c>
      <c r="G330" s="52">
        <v>4.5</v>
      </c>
      <c r="H330" s="54">
        <f t="shared" si="2"/>
        <v>0.349282071</v>
      </c>
      <c r="I330" s="52">
        <v>5.3</v>
      </c>
      <c r="J330" s="54">
        <f t="shared" si="3"/>
        <v>0.5647525109</v>
      </c>
      <c r="K330" s="55">
        <v>2.75625</v>
      </c>
      <c r="L330" s="54">
        <f t="shared" si="4"/>
        <v>0.2184419454</v>
      </c>
      <c r="M330" s="55">
        <v>0.5625</v>
      </c>
      <c r="N330" s="56">
        <f t="shared" si="5"/>
        <v>0.03983743472</v>
      </c>
      <c r="O330" s="57">
        <v>0.559</v>
      </c>
      <c r="P330" s="24">
        <v>33643.0</v>
      </c>
      <c r="Q330" s="24">
        <v>7047.0</v>
      </c>
      <c r="R330" s="24">
        <v>6306.0</v>
      </c>
      <c r="S330" s="24">
        <v>640.0</v>
      </c>
      <c r="T330" s="24">
        <v>1944.0</v>
      </c>
      <c r="U330" s="24">
        <v>24.9948</v>
      </c>
      <c r="V330" s="24">
        <v>5.2355</v>
      </c>
      <c r="W330" s="24">
        <v>4.685</v>
      </c>
      <c r="X330" s="24">
        <v>0.4755</v>
      </c>
      <c r="Y330" s="24">
        <v>1.4443</v>
      </c>
      <c r="Z330" s="24">
        <v>97.0</v>
      </c>
      <c r="AA330" s="24">
        <v>20.6</v>
      </c>
      <c r="AB330" s="24">
        <v>4.7</v>
      </c>
      <c r="AC330" s="24">
        <v>41.0</v>
      </c>
      <c r="AD330" s="24">
        <v>7.2</v>
      </c>
      <c r="AE330" s="24">
        <v>1.2247</v>
      </c>
      <c r="AF330" s="24">
        <v>1.792683</v>
      </c>
      <c r="AG330" s="24">
        <v>1.333333</v>
      </c>
      <c r="AH330" s="24">
        <v>1.191489</v>
      </c>
      <c r="AI330" s="24">
        <v>1.305825</v>
      </c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</row>
    <row r="331">
      <c r="A331" s="51" t="s">
        <v>41</v>
      </c>
      <c r="B331" s="51" t="s">
        <v>104</v>
      </c>
      <c r="C331" s="24">
        <v>2007.0</v>
      </c>
      <c r="D331" s="24">
        <v>0.05721</v>
      </c>
      <c r="E331" s="52">
        <v>31.6</v>
      </c>
      <c r="F331" s="53">
        <f t="shared" si="1"/>
        <v>2.17591141</v>
      </c>
      <c r="G331" s="52">
        <v>5.4</v>
      </c>
      <c r="H331" s="54">
        <f t="shared" si="2"/>
        <v>0.3901561469</v>
      </c>
      <c r="I331" s="52">
        <v>5.7</v>
      </c>
      <c r="J331" s="54">
        <f t="shared" si="3"/>
        <v>0.5831661131</v>
      </c>
      <c r="K331" s="55">
        <v>2.162337662</v>
      </c>
      <c r="L331" s="54">
        <f t="shared" si="4"/>
        <v>0.1649430756</v>
      </c>
      <c r="M331" s="55">
        <v>0.701298701</v>
      </c>
      <c r="N331" s="56">
        <f t="shared" si="5"/>
        <v>0.04884330793</v>
      </c>
      <c r="O331" s="57">
        <v>0.58</v>
      </c>
      <c r="P331" s="24">
        <v>33643.0</v>
      </c>
      <c r="Q331" s="24">
        <v>7047.0</v>
      </c>
      <c r="R331" s="24">
        <v>6306.0</v>
      </c>
      <c r="S331" s="24">
        <v>640.0</v>
      </c>
      <c r="T331" s="24">
        <v>1944.0</v>
      </c>
      <c r="U331" s="24">
        <v>24.9948</v>
      </c>
      <c r="V331" s="24">
        <v>5.2355</v>
      </c>
      <c r="W331" s="24">
        <v>4.685</v>
      </c>
      <c r="X331" s="24">
        <v>0.4755</v>
      </c>
      <c r="Y331" s="24">
        <v>1.4443</v>
      </c>
      <c r="Z331" s="24">
        <v>98.7</v>
      </c>
      <c r="AA331" s="24">
        <v>21.3</v>
      </c>
      <c r="AB331" s="24">
        <v>4.6</v>
      </c>
      <c r="AC331" s="24">
        <v>41.1</v>
      </c>
      <c r="AD331" s="24">
        <v>7.2</v>
      </c>
      <c r="AE331" s="24">
        <v>1.2036</v>
      </c>
      <c r="AF331" s="24">
        <v>1.788321</v>
      </c>
      <c r="AG331" s="24">
        <v>1.333333</v>
      </c>
      <c r="AH331" s="24">
        <v>1.217391</v>
      </c>
      <c r="AI331" s="24">
        <v>1.262911</v>
      </c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</row>
    <row r="332">
      <c r="A332" s="51" t="s">
        <v>41</v>
      </c>
      <c r="B332" s="51" t="s">
        <v>104</v>
      </c>
      <c r="C332" s="24">
        <v>2008.0</v>
      </c>
      <c r="D332" s="24">
        <v>0.06092</v>
      </c>
      <c r="E332" s="52">
        <v>28.3</v>
      </c>
      <c r="F332" s="53">
        <f t="shared" si="1"/>
        <v>2.050223611</v>
      </c>
      <c r="G332" s="52">
        <v>5.4</v>
      </c>
      <c r="H332" s="54">
        <f t="shared" si="2"/>
        <v>0.4059284188</v>
      </c>
      <c r="I332" s="52">
        <v>6.3</v>
      </c>
      <c r="J332" s="54">
        <f t="shared" si="3"/>
        <v>0.671643</v>
      </c>
      <c r="K332" s="55">
        <v>2.762195122</v>
      </c>
      <c r="L332" s="54">
        <f t="shared" si="4"/>
        <v>0.2212903413</v>
      </c>
      <c r="M332" s="55">
        <v>0.731707317</v>
      </c>
      <c r="N332" s="56">
        <f t="shared" si="5"/>
        <v>0.05311134869</v>
      </c>
      <c r="O332" s="57">
        <v>0.576</v>
      </c>
      <c r="P332" s="24">
        <v>33643.0</v>
      </c>
      <c r="Q332" s="24">
        <v>7047.0</v>
      </c>
      <c r="R332" s="24">
        <v>6306.0</v>
      </c>
      <c r="S332" s="24">
        <v>640.0</v>
      </c>
      <c r="T332" s="24">
        <v>1944.0</v>
      </c>
      <c r="U332" s="24">
        <v>24.9948</v>
      </c>
      <c r="V332" s="24">
        <v>5.2355</v>
      </c>
      <c r="W332" s="24">
        <v>4.685</v>
      </c>
      <c r="X332" s="24">
        <v>0.4755</v>
      </c>
      <c r="Y332" s="24">
        <v>1.4443</v>
      </c>
      <c r="Z332" s="24">
        <v>99.9</v>
      </c>
      <c r="AA332" s="24">
        <v>21.8</v>
      </c>
      <c r="AB332" s="24">
        <v>4.7</v>
      </c>
      <c r="AC332" s="24">
        <v>42.0</v>
      </c>
      <c r="AD332" s="24">
        <v>7.3</v>
      </c>
      <c r="AE332" s="24">
        <v>1.1892</v>
      </c>
      <c r="AF332" s="24">
        <v>1.75</v>
      </c>
      <c r="AG332" s="24">
        <v>1.315068</v>
      </c>
      <c r="AH332" s="24">
        <v>1.191489</v>
      </c>
      <c r="AI332" s="24">
        <v>1.233945</v>
      </c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8"/>
    </row>
    <row r="333">
      <c r="A333" s="51" t="s">
        <v>41</v>
      </c>
      <c r="B333" s="51" t="s">
        <v>104</v>
      </c>
      <c r="C333" s="24">
        <v>2009.0</v>
      </c>
      <c r="D333" s="24">
        <v>0.06092</v>
      </c>
      <c r="E333" s="52">
        <v>26.8</v>
      </c>
      <c r="F333" s="53">
        <f t="shared" si="1"/>
        <v>1.939595328</v>
      </c>
      <c r="G333" s="52">
        <v>4.9</v>
      </c>
      <c r="H333" s="54">
        <f t="shared" si="2"/>
        <v>0.3823744196</v>
      </c>
      <c r="I333" s="52">
        <v>5.2</v>
      </c>
      <c r="J333" s="54">
        <f t="shared" si="3"/>
        <v>0.5637681302</v>
      </c>
      <c r="K333" s="55">
        <v>2.195121951</v>
      </c>
      <c r="L333" s="54">
        <f t="shared" si="4"/>
        <v>0.1758598739</v>
      </c>
      <c r="M333" s="55">
        <v>0.676829268</v>
      </c>
      <c r="N333" s="56">
        <f t="shared" si="5"/>
        <v>0.04810452592</v>
      </c>
      <c r="O333" s="57">
        <v>0.561</v>
      </c>
      <c r="P333" s="24">
        <v>33643.0</v>
      </c>
      <c r="Q333" s="24">
        <v>7047.0</v>
      </c>
      <c r="R333" s="24">
        <v>6306.0</v>
      </c>
      <c r="S333" s="24">
        <v>640.0</v>
      </c>
      <c r="T333" s="24">
        <v>1944.0</v>
      </c>
      <c r="U333" s="24">
        <v>24.9948</v>
      </c>
      <c r="V333" s="24">
        <v>5.2355</v>
      </c>
      <c r="W333" s="24">
        <v>4.685</v>
      </c>
      <c r="X333" s="24">
        <v>0.4755</v>
      </c>
      <c r="Y333" s="24">
        <v>1.4443</v>
      </c>
      <c r="Z333" s="24">
        <v>100.0</v>
      </c>
      <c r="AA333" s="24">
        <v>21.0</v>
      </c>
      <c r="AB333" s="24">
        <v>4.8</v>
      </c>
      <c r="AC333" s="24">
        <v>41.3</v>
      </c>
      <c r="AD333" s="24">
        <v>7.3</v>
      </c>
      <c r="AE333" s="24">
        <v>1.188</v>
      </c>
      <c r="AF333" s="24">
        <v>1.779661</v>
      </c>
      <c r="AG333" s="24">
        <v>1.315068</v>
      </c>
      <c r="AH333" s="24">
        <v>1.166667</v>
      </c>
      <c r="AI333" s="24">
        <v>1.280952</v>
      </c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8"/>
    </row>
    <row r="334">
      <c r="A334" s="51" t="s">
        <v>41</v>
      </c>
      <c r="B334" s="51" t="s">
        <v>104</v>
      </c>
      <c r="C334" s="24">
        <v>2010.0</v>
      </c>
      <c r="D334" s="24">
        <v>0.05423</v>
      </c>
      <c r="E334" s="52">
        <v>27.0</v>
      </c>
      <c r="F334" s="53">
        <f t="shared" si="1"/>
        <v>1.732599693</v>
      </c>
      <c r="G334" s="52">
        <v>5.0</v>
      </c>
      <c r="H334" s="54">
        <f t="shared" si="2"/>
        <v>0.3440535582</v>
      </c>
      <c r="I334" s="52">
        <v>5.4</v>
      </c>
      <c r="J334" s="54">
        <f t="shared" si="3"/>
        <v>0.5161603808</v>
      </c>
      <c r="K334" s="55">
        <v>2.321917808</v>
      </c>
      <c r="L334" s="54">
        <f t="shared" si="4"/>
        <v>0.167890095</v>
      </c>
      <c r="M334" s="55">
        <v>0.410958904</v>
      </c>
      <c r="N334" s="56">
        <f t="shared" si="5"/>
        <v>0.02547005552</v>
      </c>
      <c r="O334" s="57">
        <v>0.545</v>
      </c>
      <c r="P334" s="24">
        <v>33643.0</v>
      </c>
      <c r="Q334" s="24">
        <v>7047.0</v>
      </c>
      <c r="R334" s="24">
        <v>6306.0</v>
      </c>
      <c r="S334" s="24">
        <v>640.0</v>
      </c>
      <c r="T334" s="24">
        <v>1944.0</v>
      </c>
      <c r="U334" s="24">
        <v>24.9948</v>
      </c>
      <c r="V334" s="24">
        <v>5.2355</v>
      </c>
      <c r="W334" s="24">
        <v>4.685</v>
      </c>
      <c r="X334" s="24">
        <v>0.4755</v>
      </c>
      <c r="Y334" s="24">
        <v>1.4443</v>
      </c>
      <c r="Z334" s="24">
        <v>100.4</v>
      </c>
      <c r="AA334" s="24">
        <v>21.2</v>
      </c>
      <c r="AB334" s="24">
        <v>4.9</v>
      </c>
      <c r="AC334" s="24">
        <v>41.7</v>
      </c>
      <c r="AD334" s="24">
        <v>7.2</v>
      </c>
      <c r="AE334" s="24">
        <v>1.1833</v>
      </c>
      <c r="AF334" s="24">
        <v>1.76259</v>
      </c>
      <c r="AG334" s="24">
        <v>1.333333</v>
      </c>
      <c r="AH334" s="24">
        <v>1.142857</v>
      </c>
      <c r="AI334" s="24">
        <v>1.268868</v>
      </c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8"/>
    </row>
    <row r="335">
      <c r="A335" s="51" t="s">
        <v>41</v>
      </c>
      <c r="B335" s="51" t="s">
        <v>104</v>
      </c>
      <c r="C335" s="24">
        <v>2011.0</v>
      </c>
      <c r="D335" s="24">
        <v>0.06092</v>
      </c>
      <c r="E335" s="52">
        <v>25.3</v>
      </c>
      <c r="F335" s="53">
        <f t="shared" si="1"/>
        <v>1.838434013</v>
      </c>
      <c r="G335" s="52">
        <v>4.7</v>
      </c>
      <c r="H335" s="54">
        <f t="shared" si="2"/>
        <v>0.3582379948</v>
      </c>
      <c r="I335" s="52">
        <v>5.1</v>
      </c>
      <c r="J335" s="54">
        <f t="shared" si="3"/>
        <v>0.5515907705</v>
      </c>
      <c r="K335" s="55">
        <v>1.81097561</v>
      </c>
      <c r="L335" s="54">
        <f t="shared" si="4"/>
        <v>0.145084396</v>
      </c>
      <c r="M335" s="55">
        <v>0.219512195</v>
      </c>
      <c r="N335" s="56">
        <f t="shared" si="5"/>
        <v>0.01528306428</v>
      </c>
      <c r="O335" s="57">
        <v>0.548</v>
      </c>
      <c r="P335" s="24">
        <v>33643.0</v>
      </c>
      <c r="Q335" s="24">
        <v>7047.0</v>
      </c>
      <c r="R335" s="24">
        <v>6306.0</v>
      </c>
      <c r="S335" s="24">
        <v>640.0</v>
      </c>
      <c r="T335" s="24">
        <v>1944.0</v>
      </c>
      <c r="U335" s="24">
        <v>24.9948</v>
      </c>
      <c r="V335" s="24">
        <v>5.2355</v>
      </c>
      <c r="W335" s="24">
        <v>4.685</v>
      </c>
      <c r="X335" s="24">
        <v>0.4755</v>
      </c>
      <c r="Y335" s="24">
        <v>1.4443</v>
      </c>
      <c r="Z335" s="24">
        <v>99.6</v>
      </c>
      <c r="AA335" s="24">
        <v>21.5</v>
      </c>
      <c r="AB335" s="24">
        <v>4.9</v>
      </c>
      <c r="AC335" s="24">
        <v>41.4</v>
      </c>
      <c r="AD335" s="24">
        <v>7.3</v>
      </c>
      <c r="AE335" s="24">
        <v>1.1928</v>
      </c>
      <c r="AF335" s="24">
        <v>1.775362</v>
      </c>
      <c r="AG335" s="24">
        <v>1.315068</v>
      </c>
      <c r="AH335" s="24">
        <v>1.142857</v>
      </c>
      <c r="AI335" s="24">
        <v>1.251163</v>
      </c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</row>
    <row r="336">
      <c r="A336" s="51" t="s">
        <v>41</v>
      </c>
      <c r="B336" s="51" t="s">
        <v>104</v>
      </c>
      <c r="C336" s="24">
        <v>2012.0</v>
      </c>
      <c r="D336" s="24">
        <v>0.04309</v>
      </c>
      <c r="E336" s="52">
        <v>27.9</v>
      </c>
      <c r="F336" s="53">
        <f t="shared" si="1"/>
        <v>1.48304749</v>
      </c>
      <c r="G336" s="52">
        <v>4.6</v>
      </c>
      <c r="H336" s="54">
        <f t="shared" si="2"/>
        <v>0.2539026197</v>
      </c>
      <c r="I336" s="52">
        <v>5.4</v>
      </c>
      <c r="J336" s="54">
        <f t="shared" si="3"/>
        <v>0.4052706023</v>
      </c>
      <c r="K336" s="55">
        <v>1.784482759</v>
      </c>
      <c r="L336" s="54">
        <f t="shared" si="4"/>
        <v>0.09586702986</v>
      </c>
      <c r="M336" s="55">
        <v>0.465517241</v>
      </c>
      <c r="N336" s="56">
        <f t="shared" si="5"/>
        <v>0.02202571574</v>
      </c>
      <c r="O336" s="57">
        <v>0.527</v>
      </c>
      <c r="P336" s="24">
        <v>33643.0</v>
      </c>
      <c r="Q336" s="24">
        <v>7047.0</v>
      </c>
      <c r="R336" s="24">
        <v>6306.0</v>
      </c>
      <c r="S336" s="24">
        <v>640.0</v>
      </c>
      <c r="T336" s="24">
        <v>1944.0</v>
      </c>
      <c r="U336" s="24">
        <v>24.9948</v>
      </c>
      <c r="V336" s="24">
        <v>5.2355</v>
      </c>
      <c r="W336" s="24">
        <v>4.685</v>
      </c>
      <c r="X336" s="24">
        <v>0.4755</v>
      </c>
      <c r="Y336" s="24">
        <v>1.4443</v>
      </c>
      <c r="Z336" s="24">
        <v>96.3</v>
      </c>
      <c r="AA336" s="24">
        <v>21.0</v>
      </c>
      <c r="AB336" s="24">
        <v>5.1</v>
      </c>
      <c r="AC336" s="24">
        <v>42.2</v>
      </c>
      <c r="AD336" s="24">
        <v>7.7</v>
      </c>
      <c r="AE336" s="24">
        <v>1.2336</v>
      </c>
      <c r="AF336" s="24">
        <v>1.741706</v>
      </c>
      <c r="AG336" s="24">
        <v>1.246753</v>
      </c>
      <c r="AH336" s="24">
        <v>1.098039</v>
      </c>
      <c r="AI336" s="24">
        <v>1.280952</v>
      </c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8"/>
    </row>
    <row r="337">
      <c r="A337" s="51" t="s">
        <v>41</v>
      </c>
      <c r="B337" s="51" t="s">
        <v>104</v>
      </c>
      <c r="C337" s="24">
        <v>2013.0</v>
      </c>
      <c r="D337" s="24">
        <v>0.05795</v>
      </c>
      <c r="E337" s="52">
        <v>27.3</v>
      </c>
      <c r="F337" s="53">
        <f t="shared" si="1"/>
        <v>1.915844385</v>
      </c>
      <c r="G337" s="52">
        <v>6.0</v>
      </c>
      <c r="H337" s="54">
        <f t="shared" si="2"/>
        <v>0.4232187015</v>
      </c>
      <c r="I337" s="52">
        <v>5.6</v>
      </c>
      <c r="J337" s="54">
        <f t="shared" si="3"/>
        <v>0.5665609704</v>
      </c>
      <c r="K337" s="55">
        <v>2.038461538</v>
      </c>
      <c r="L337" s="54">
        <f t="shared" si="4"/>
        <v>0.1453893218</v>
      </c>
      <c r="M337" s="55">
        <v>0.480769231</v>
      </c>
      <c r="N337" s="56">
        <f t="shared" si="5"/>
        <v>0.03059200004</v>
      </c>
      <c r="O337" s="57">
        <v>0.57</v>
      </c>
      <c r="P337" s="24">
        <v>33643.0</v>
      </c>
      <c r="Q337" s="24">
        <v>7047.0</v>
      </c>
      <c r="R337" s="24">
        <v>6306.0</v>
      </c>
      <c r="S337" s="24">
        <v>640.0</v>
      </c>
      <c r="T337" s="24">
        <v>1944.0</v>
      </c>
      <c r="U337" s="24">
        <v>24.9948</v>
      </c>
      <c r="V337" s="24">
        <v>5.2355</v>
      </c>
      <c r="W337" s="24">
        <v>4.685</v>
      </c>
      <c r="X337" s="24">
        <v>0.4755</v>
      </c>
      <c r="Y337" s="24">
        <v>1.4443</v>
      </c>
      <c r="Z337" s="24">
        <v>98.1</v>
      </c>
      <c r="AA337" s="24">
        <v>22.1</v>
      </c>
      <c r="AB337" s="24">
        <v>5.1</v>
      </c>
      <c r="AC337" s="24">
        <v>42.1</v>
      </c>
      <c r="AD337" s="24">
        <v>7.8</v>
      </c>
      <c r="AE337" s="24">
        <v>1.211</v>
      </c>
      <c r="AF337" s="24">
        <v>1.745843</v>
      </c>
      <c r="AG337" s="24">
        <v>1.230769</v>
      </c>
      <c r="AH337" s="24">
        <v>1.098039</v>
      </c>
      <c r="AI337" s="24">
        <v>1.217195</v>
      </c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8"/>
    </row>
    <row r="338">
      <c r="A338" s="51" t="s">
        <v>41</v>
      </c>
      <c r="B338" s="51" t="s">
        <v>104</v>
      </c>
      <c r="C338" s="24">
        <v>2014.0</v>
      </c>
      <c r="D338" s="24">
        <v>0.00446</v>
      </c>
      <c r="E338" s="52">
        <v>13.8</v>
      </c>
      <c r="F338" s="53">
        <f t="shared" si="1"/>
        <v>0.0723927576</v>
      </c>
      <c r="G338" s="52">
        <v>6.3</v>
      </c>
      <c r="H338" s="54">
        <f t="shared" si="2"/>
        <v>0.03435618325</v>
      </c>
      <c r="I338" s="52">
        <v>4.3</v>
      </c>
      <c r="J338" s="54">
        <f t="shared" si="3"/>
        <v>0.03301130236</v>
      </c>
      <c r="K338" s="55">
        <v>1.75</v>
      </c>
      <c r="L338" s="54">
        <f t="shared" si="4"/>
        <v>0.009730907165</v>
      </c>
      <c r="M338" s="55">
        <v>0.25</v>
      </c>
      <c r="N338" s="56">
        <f t="shared" si="5"/>
        <v>0.001328510235</v>
      </c>
      <c r="O338" s="57">
        <v>0.505</v>
      </c>
      <c r="P338" s="24">
        <v>33643.0</v>
      </c>
      <c r="Q338" s="24">
        <v>7047.0</v>
      </c>
      <c r="R338" s="24">
        <v>6306.0</v>
      </c>
      <c r="S338" s="24">
        <v>640.0</v>
      </c>
      <c r="T338" s="24">
        <v>1944.0</v>
      </c>
      <c r="U338" s="24">
        <v>24.9948</v>
      </c>
      <c r="V338" s="24">
        <v>5.2355</v>
      </c>
      <c r="W338" s="24">
        <v>4.685</v>
      </c>
      <c r="X338" s="24">
        <v>0.4755</v>
      </c>
      <c r="Y338" s="24">
        <v>1.4443</v>
      </c>
      <c r="Z338" s="24">
        <v>101.0</v>
      </c>
      <c r="AA338" s="24">
        <v>22.0</v>
      </c>
      <c r="AB338" s="24">
        <v>4.7</v>
      </c>
      <c r="AC338" s="24">
        <v>42.7</v>
      </c>
      <c r="AD338" s="24">
        <v>7.7</v>
      </c>
      <c r="AE338" s="24">
        <v>1.1762</v>
      </c>
      <c r="AF338" s="24">
        <v>1.721311</v>
      </c>
      <c r="AG338" s="24">
        <v>1.246753</v>
      </c>
      <c r="AH338" s="24">
        <v>1.191489</v>
      </c>
      <c r="AI338" s="24">
        <v>1.222727</v>
      </c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8"/>
    </row>
    <row r="339">
      <c r="A339" s="51" t="s">
        <v>41</v>
      </c>
      <c r="B339" s="51" t="s">
        <v>104</v>
      </c>
      <c r="C339" s="24">
        <v>2015.0</v>
      </c>
      <c r="D339" s="24">
        <v>0.026</v>
      </c>
      <c r="E339" s="52">
        <v>22.3</v>
      </c>
      <c r="F339" s="53">
        <f t="shared" si="1"/>
        <v>0.6888024</v>
      </c>
      <c r="G339" s="52">
        <v>5.6</v>
      </c>
      <c r="H339" s="54">
        <f t="shared" si="2"/>
        <v>0.1780290512</v>
      </c>
      <c r="I339" s="52">
        <v>5.7</v>
      </c>
      <c r="J339" s="54">
        <f t="shared" si="3"/>
        <v>0.251563572</v>
      </c>
      <c r="K339" s="55">
        <v>2.014285714</v>
      </c>
      <c r="L339" s="54">
        <f t="shared" si="4"/>
        <v>0.06529423568</v>
      </c>
      <c r="M339" s="55">
        <v>0.3</v>
      </c>
      <c r="N339" s="56">
        <f t="shared" si="5"/>
        <v>0.0091000026</v>
      </c>
      <c r="O339" s="57">
        <v>0.477</v>
      </c>
      <c r="P339" s="24">
        <v>33643.0</v>
      </c>
      <c r="Q339" s="24">
        <v>7047.0</v>
      </c>
      <c r="R339" s="24">
        <v>6306.0</v>
      </c>
      <c r="S339" s="24">
        <v>640.0</v>
      </c>
      <c r="T339" s="24">
        <v>1944.0</v>
      </c>
      <c r="U339" s="24">
        <v>24.9948</v>
      </c>
      <c r="V339" s="24">
        <v>5.2355</v>
      </c>
      <c r="W339" s="24">
        <v>4.685</v>
      </c>
      <c r="X339" s="24">
        <v>0.4755</v>
      </c>
      <c r="Y339" s="24">
        <v>1.4443</v>
      </c>
      <c r="Z339" s="24">
        <v>100.0</v>
      </c>
      <c r="AA339" s="24">
        <v>22.0</v>
      </c>
      <c r="AB339" s="24">
        <v>4.8</v>
      </c>
      <c r="AC339" s="24">
        <v>43.3</v>
      </c>
      <c r="AD339" s="24">
        <v>7.7</v>
      </c>
      <c r="AE339" s="24">
        <v>1.188</v>
      </c>
      <c r="AF339" s="24">
        <v>1.69746</v>
      </c>
      <c r="AG339" s="24">
        <v>1.246753</v>
      </c>
      <c r="AH339" s="24">
        <v>1.166667</v>
      </c>
      <c r="AI339" s="24">
        <v>1.222727</v>
      </c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8"/>
    </row>
    <row r="340">
      <c r="A340" s="51" t="s">
        <v>41</v>
      </c>
      <c r="B340" s="51" t="s">
        <v>104</v>
      </c>
      <c r="C340" s="24">
        <v>2016.0</v>
      </c>
      <c r="D340" s="24">
        <v>0.04903</v>
      </c>
      <c r="E340" s="52">
        <v>17.6</v>
      </c>
      <c r="F340" s="53">
        <f t="shared" si="1"/>
        <v>0.9982351104</v>
      </c>
      <c r="G340" s="52">
        <v>2.8</v>
      </c>
      <c r="H340" s="54">
        <f t="shared" si="2"/>
        <v>0.165602669</v>
      </c>
      <c r="I340" s="52">
        <v>3.7</v>
      </c>
      <c r="J340" s="54">
        <f t="shared" si="3"/>
        <v>0.3044225337</v>
      </c>
      <c r="K340" s="55">
        <v>1.409090909</v>
      </c>
      <c r="L340" s="54">
        <f t="shared" si="4"/>
        <v>0.085031033</v>
      </c>
      <c r="M340" s="55">
        <v>0.295454545</v>
      </c>
      <c r="N340" s="56">
        <f t="shared" si="5"/>
        <v>0.0162244727</v>
      </c>
      <c r="O340" s="57">
        <v>0.469</v>
      </c>
      <c r="P340" s="24">
        <v>33643.0</v>
      </c>
      <c r="Q340" s="24">
        <v>7047.0</v>
      </c>
      <c r="R340" s="24">
        <v>6306.0</v>
      </c>
      <c r="S340" s="24">
        <v>640.0</v>
      </c>
      <c r="T340" s="24">
        <v>1944.0</v>
      </c>
      <c r="U340" s="24">
        <v>24.9948</v>
      </c>
      <c r="V340" s="24">
        <v>5.2355</v>
      </c>
      <c r="W340" s="24">
        <v>4.685</v>
      </c>
      <c r="X340" s="24">
        <v>0.4755</v>
      </c>
      <c r="Y340" s="24">
        <v>1.4443</v>
      </c>
      <c r="Z340" s="24">
        <v>102.7</v>
      </c>
      <c r="AA340" s="24">
        <v>22.3</v>
      </c>
      <c r="AB340" s="24">
        <v>5.0</v>
      </c>
      <c r="AC340" s="24">
        <v>43.8</v>
      </c>
      <c r="AD340" s="24">
        <v>7.8</v>
      </c>
      <c r="AE340" s="24">
        <v>1.1568</v>
      </c>
      <c r="AF340" s="24">
        <v>1.678082</v>
      </c>
      <c r="AG340" s="24">
        <v>1.230769</v>
      </c>
      <c r="AH340" s="24">
        <v>1.12</v>
      </c>
      <c r="AI340" s="24">
        <v>1.206278</v>
      </c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8"/>
    </row>
    <row r="341">
      <c r="A341" s="51" t="s">
        <v>59</v>
      </c>
      <c r="B341" s="51" t="s">
        <v>111</v>
      </c>
      <c r="C341" s="24">
        <v>1980.0</v>
      </c>
      <c r="D341" s="24">
        <v>0.09142</v>
      </c>
      <c r="E341" s="52">
        <v>21.3</v>
      </c>
      <c r="F341" s="53">
        <f t="shared" si="1"/>
        <v>2.116461677</v>
      </c>
      <c r="G341" s="52">
        <v>4.5</v>
      </c>
      <c r="H341" s="54">
        <f t="shared" si="2"/>
        <v>0.428930024</v>
      </c>
      <c r="I341" s="52">
        <v>10.4</v>
      </c>
      <c r="J341" s="54">
        <f t="shared" si="3"/>
        <v>1.556379644</v>
      </c>
      <c r="K341" s="55">
        <v>2.615853659</v>
      </c>
      <c r="L341" s="54">
        <f t="shared" si="4"/>
        <v>0.2442295518</v>
      </c>
      <c r="M341" s="55">
        <v>0.969512195</v>
      </c>
      <c r="N341" s="56">
        <f t="shared" si="5"/>
        <v>0.09364977615</v>
      </c>
      <c r="O341" s="57">
        <v>0.538</v>
      </c>
      <c r="P341" s="24">
        <v>21791.0</v>
      </c>
      <c r="Q341" s="24">
        <v>8974.0</v>
      </c>
      <c r="R341" s="24">
        <v>5695.0</v>
      </c>
      <c r="S341" s="24">
        <v>755.0</v>
      </c>
      <c r="T341" s="24">
        <v>1556.0</v>
      </c>
      <c r="U341" s="24">
        <v>24.2932</v>
      </c>
      <c r="V341" s="24">
        <v>10.0045</v>
      </c>
      <c r="W341" s="24">
        <v>6.3489</v>
      </c>
      <c r="X341" s="24">
        <v>0.8417</v>
      </c>
      <c r="Y341" s="24">
        <v>1.7347</v>
      </c>
      <c r="Z341" s="24">
        <v>109.3</v>
      </c>
      <c r="AA341" s="24">
        <v>25.8</v>
      </c>
      <c r="AB341" s="24">
        <v>5.3</v>
      </c>
      <c r="AC341" s="24">
        <v>44.9</v>
      </c>
      <c r="AD341" s="24">
        <v>9.4</v>
      </c>
      <c r="AE341" s="24">
        <v>1.0869</v>
      </c>
      <c r="AF341" s="24">
        <v>1.636971</v>
      </c>
      <c r="AG341" s="24">
        <v>1.021277</v>
      </c>
      <c r="AH341" s="24">
        <v>1.056604</v>
      </c>
      <c r="AI341" s="24">
        <v>1.042636</v>
      </c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8"/>
    </row>
    <row r="342">
      <c r="A342" s="51" t="s">
        <v>59</v>
      </c>
      <c r="B342" s="51" t="s">
        <v>111</v>
      </c>
      <c r="C342" s="24">
        <v>1981.0</v>
      </c>
      <c r="D342" s="24">
        <v>0.09142</v>
      </c>
      <c r="E342" s="52">
        <v>21.2</v>
      </c>
      <c r="F342" s="53">
        <f t="shared" si="1"/>
        <v>2.129976296</v>
      </c>
      <c r="G342" s="52">
        <v>5.5</v>
      </c>
      <c r="H342" s="54">
        <f t="shared" si="2"/>
        <v>0.5304152746</v>
      </c>
      <c r="I342" s="52">
        <v>10.9</v>
      </c>
      <c r="J342" s="54">
        <f t="shared" si="3"/>
        <v>1.683704035</v>
      </c>
      <c r="K342" s="55">
        <v>2.945121951</v>
      </c>
      <c r="L342" s="54">
        <f t="shared" si="4"/>
        <v>0.2871926751</v>
      </c>
      <c r="M342" s="55">
        <v>1.152439024</v>
      </c>
      <c r="N342" s="56">
        <f t="shared" si="5"/>
        <v>0.1113195452</v>
      </c>
      <c r="O342" s="57">
        <v>0.528</v>
      </c>
      <c r="P342" s="24">
        <v>21791.0</v>
      </c>
      <c r="Q342" s="24">
        <v>8974.0</v>
      </c>
      <c r="R342" s="24">
        <v>5695.0</v>
      </c>
      <c r="S342" s="24">
        <v>755.0</v>
      </c>
      <c r="T342" s="24">
        <v>1556.0</v>
      </c>
      <c r="U342" s="24">
        <v>24.2932</v>
      </c>
      <c r="V342" s="24">
        <v>10.0045</v>
      </c>
      <c r="W342" s="24">
        <v>6.3489</v>
      </c>
      <c r="X342" s="24">
        <v>0.8417</v>
      </c>
      <c r="Y342" s="24">
        <v>1.7347</v>
      </c>
      <c r="Z342" s="24">
        <v>108.1</v>
      </c>
      <c r="AA342" s="24">
        <v>25.5</v>
      </c>
      <c r="AB342" s="24">
        <v>5.3</v>
      </c>
      <c r="AC342" s="24">
        <v>43.5</v>
      </c>
      <c r="AD342" s="24">
        <v>9.0</v>
      </c>
      <c r="AE342" s="24">
        <v>1.099</v>
      </c>
      <c r="AF342" s="24">
        <v>1.689655</v>
      </c>
      <c r="AG342" s="24">
        <v>1.066667</v>
      </c>
      <c r="AH342" s="24">
        <v>1.056604</v>
      </c>
      <c r="AI342" s="24">
        <v>1.054902</v>
      </c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8"/>
    </row>
    <row r="343">
      <c r="A343" s="51" t="s">
        <v>59</v>
      </c>
      <c r="B343" s="51" t="s">
        <v>111</v>
      </c>
      <c r="C343" s="24">
        <v>1982.0</v>
      </c>
      <c r="D343" s="24">
        <v>0.08584</v>
      </c>
      <c r="E343" s="52">
        <v>22.9</v>
      </c>
      <c r="F343" s="53">
        <f t="shared" si="1"/>
        <v>2.15031861</v>
      </c>
      <c r="G343" s="52">
        <v>5.8</v>
      </c>
      <c r="H343" s="54">
        <f t="shared" si="2"/>
        <v>0.5314584451</v>
      </c>
      <c r="I343" s="52">
        <v>10.9</v>
      </c>
      <c r="J343" s="54">
        <f t="shared" si="3"/>
        <v>1.580935839</v>
      </c>
      <c r="K343" s="55">
        <v>2.785714286</v>
      </c>
      <c r="L343" s="54">
        <f t="shared" si="4"/>
        <v>0.2700714513</v>
      </c>
      <c r="M343" s="55">
        <v>1.285714286</v>
      </c>
      <c r="N343" s="56">
        <f t="shared" si="5"/>
        <v>0.1144533293</v>
      </c>
      <c r="O343" s="57">
        <v>0.557</v>
      </c>
      <c r="P343" s="24">
        <v>21791.0</v>
      </c>
      <c r="Q343" s="24">
        <v>8974.0</v>
      </c>
      <c r="R343" s="24">
        <v>5695.0</v>
      </c>
      <c r="S343" s="24">
        <v>755.0</v>
      </c>
      <c r="T343" s="24">
        <v>1556.0</v>
      </c>
      <c r="U343" s="24">
        <v>24.2932</v>
      </c>
      <c r="V343" s="24">
        <v>10.0045</v>
      </c>
      <c r="W343" s="24">
        <v>6.3489</v>
      </c>
      <c r="X343" s="24">
        <v>0.8417</v>
      </c>
      <c r="Y343" s="24">
        <v>1.7347</v>
      </c>
      <c r="Z343" s="24">
        <v>108.6</v>
      </c>
      <c r="AA343" s="24">
        <v>25.2</v>
      </c>
      <c r="AB343" s="24">
        <v>5.4</v>
      </c>
      <c r="AC343" s="24">
        <v>43.5</v>
      </c>
      <c r="AD343" s="24">
        <v>8.5</v>
      </c>
      <c r="AE343" s="24">
        <v>1.0939</v>
      </c>
      <c r="AF343" s="24">
        <v>1.689655</v>
      </c>
      <c r="AG343" s="24">
        <v>1.129412</v>
      </c>
      <c r="AH343" s="24">
        <v>1.037037</v>
      </c>
      <c r="AI343" s="24">
        <v>1.06746</v>
      </c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8"/>
    </row>
    <row r="344">
      <c r="A344" s="51" t="s">
        <v>59</v>
      </c>
      <c r="B344" s="51" t="s">
        <v>111</v>
      </c>
      <c r="C344" s="24">
        <v>1983.0</v>
      </c>
      <c r="D344" s="24">
        <v>0.08807</v>
      </c>
      <c r="E344" s="52">
        <v>23.6</v>
      </c>
      <c r="F344" s="53">
        <f t="shared" si="1"/>
        <v>2.275697095</v>
      </c>
      <c r="G344" s="52">
        <v>5.8</v>
      </c>
      <c r="H344" s="54">
        <f t="shared" si="2"/>
        <v>0.5305282197</v>
      </c>
      <c r="I344" s="52">
        <v>11.0</v>
      </c>
      <c r="J344" s="54">
        <f t="shared" si="3"/>
        <v>1.600102877</v>
      </c>
      <c r="K344" s="55">
        <v>2.810126582</v>
      </c>
      <c r="L344" s="54">
        <f t="shared" si="4"/>
        <v>0.2669532623</v>
      </c>
      <c r="M344" s="55">
        <v>1.348101266</v>
      </c>
      <c r="N344" s="56">
        <f t="shared" si="5"/>
        <v>0.1187272785</v>
      </c>
      <c r="O344" s="57">
        <v>0.561</v>
      </c>
      <c r="P344" s="24">
        <v>21791.0</v>
      </c>
      <c r="Q344" s="24">
        <v>8974.0</v>
      </c>
      <c r="R344" s="24">
        <v>5695.0</v>
      </c>
      <c r="S344" s="24">
        <v>755.0</v>
      </c>
      <c r="T344" s="24">
        <v>1556.0</v>
      </c>
      <c r="U344" s="24">
        <v>24.2932</v>
      </c>
      <c r="V344" s="24">
        <v>10.0045</v>
      </c>
      <c r="W344" s="24">
        <v>6.3489</v>
      </c>
      <c r="X344" s="24">
        <v>0.8417</v>
      </c>
      <c r="Y344" s="24">
        <v>1.7347</v>
      </c>
      <c r="Z344" s="24">
        <v>108.5</v>
      </c>
      <c r="AA344" s="24">
        <v>25.9</v>
      </c>
      <c r="AB344" s="24">
        <v>5.6</v>
      </c>
      <c r="AC344" s="24">
        <v>44.5</v>
      </c>
      <c r="AD344" s="24">
        <v>8.9</v>
      </c>
      <c r="AE344" s="24">
        <v>1.0949</v>
      </c>
      <c r="AF344" s="24">
        <v>1.651685</v>
      </c>
      <c r="AG344" s="24">
        <v>1.078652</v>
      </c>
      <c r="AH344" s="24">
        <v>1.0</v>
      </c>
      <c r="AI344" s="24">
        <v>1.03861</v>
      </c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8"/>
    </row>
    <row r="345">
      <c r="A345" s="51" t="s">
        <v>59</v>
      </c>
      <c r="B345" s="51" t="s">
        <v>111</v>
      </c>
      <c r="C345" s="24">
        <v>1984.0</v>
      </c>
      <c r="D345" s="24">
        <v>0.08807</v>
      </c>
      <c r="E345" s="52">
        <v>24.2</v>
      </c>
      <c r="F345" s="53">
        <f t="shared" si="1"/>
        <v>2.299666226</v>
      </c>
      <c r="G345" s="52">
        <v>6.6</v>
      </c>
      <c r="H345" s="54">
        <f t="shared" si="2"/>
        <v>0.5967921581</v>
      </c>
      <c r="I345" s="52">
        <v>10.1</v>
      </c>
      <c r="J345" s="54">
        <f t="shared" si="3"/>
        <v>1.520436094</v>
      </c>
      <c r="K345" s="55">
        <v>2.734177215</v>
      </c>
      <c r="L345" s="54">
        <f t="shared" si="4"/>
        <v>0.2719612659</v>
      </c>
      <c r="M345" s="55">
        <v>1.310126582</v>
      </c>
      <c r="N345" s="56">
        <f t="shared" si="5"/>
        <v>0.1219139788</v>
      </c>
      <c r="O345" s="57">
        <v>0.552</v>
      </c>
      <c r="P345" s="24">
        <v>21791.0</v>
      </c>
      <c r="Q345" s="24">
        <v>8974.0</v>
      </c>
      <c r="R345" s="24">
        <v>5695.0</v>
      </c>
      <c r="S345" s="24">
        <v>755.0</v>
      </c>
      <c r="T345" s="24">
        <v>1556.0</v>
      </c>
      <c r="U345" s="24">
        <v>24.2932</v>
      </c>
      <c r="V345" s="24">
        <v>10.0045</v>
      </c>
      <c r="W345" s="24">
        <v>6.3489</v>
      </c>
      <c r="X345" s="24">
        <v>0.8417</v>
      </c>
      <c r="Y345" s="24">
        <v>1.7347</v>
      </c>
      <c r="Z345" s="24">
        <v>110.1</v>
      </c>
      <c r="AA345" s="24">
        <v>26.2</v>
      </c>
      <c r="AB345" s="24">
        <v>5.3</v>
      </c>
      <c r="AC345" s="24">
        <v>43.0</v>
      </c>
      <c r="AD345" s="24">
        <v>8.5</v>
      </c>
      <c r="AE345" s="24">
        <v>1.079</v>
      </c>
      <c r="AF345" s="24">
        <v>1.709302</v>
      </c>
      <c r="AG345" s="24">
        <v>1.129412</v>
      </c>
      <c r="AH345" s="24">
        <v>1.056604</v>
      </c>
      <c r="AI345" s="24">
        <v>1.026718</v>
      </c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8"/>
    </row>
    <row r="346">
      <c r="A346" s="51" t="s">
        <v>59</v>
      </c>
      <c r="B346" s="51" t="s">
        <v>111</v>
      </c>
      <c r="C346" s="24">
        <v>1985.0</v>
      </c>
      <c r="D346" s="24">
        <v>0.08919</v>
      </c>
      <c r="E346" s="52">
        <v>28.7</v>
      </c>
      <c r="F346" s="53">
        <f t="shared" si="1"/>
        <v>2.744567167</v>
      </c>
      <c r="G346" s="52">
        <v>6.6</v>
      </c>
      <c r="H346" s="54">
        <f t="shared" si="2"/>
        <v>0.6020835524</v>
      </c>
      <c r="I346" s="52">
        <v>10.5</v>
      </c>
      <c r="J346" s="54">
        <f t="shared" si="3"/>
        <v>1.582353459</v>
      </c>
      <c r="K346" s="55">
        <v>2.41875</v>
      </c>
      <c r="L346" s="54">
        <f t="shared" si="4"/>
        <v>0.2436461449</v>
      </c>
      <c r="M346" s="55">
        <v>1.8375</v>
      </c>
      <c r="N346" s="56">
        <f t="shared" si="5"/>
        <v>0.1731632635</v>
      </c>
      <c r="O346" s="57">
        <v>0.585</v>
      </c>
      <c r="P346" s="24">
        <v>21791.0</v>
      </c>
      <c r="Q346" s="24">
        <v>8974.0</v>
      </c>
      <c r="R346" s="24">
        <v>5695.0</v>
      </c>
      <c r="S346" s="24">
        <v>755.0</v>
      </c>
      <c r="T346" s="24">
        <v>1556.0</v>
      </c>
      <c r="U346" s="24">
        <v>24.2932</v>
      </c>
      <c r="V346" s="24">
        <v>10.0045</v>
      </c>
      <c r="W346" s="24">
        <v>6.3489</v>
      </c>
      <c r="X346" s="24">
        <v>0.8417</v>
      </c>
      <c r="Y346" s="24">
        <v>1.7347</v>
      </c>
      <c r="Z346" s="24">
        <v>110.8</v>
      </c>
      <c r="AA346" s="24">
        <v>26.3</v>
      </c>
      <c r="AB346" s="24">
        <v>5.3</v>
      </c>
      <c r="AC346" s="24">
        <v>43.5</v>
      </c>
      <c r="AD346" s="24">
        <v>8.5</v>
      </c>
      <c r="AE346" s="24">
        <v>1.0722</v>
      </c>
      <c r="AF346" s="24">
        <v>1.689655</v>
      </c>
      <c r="AG346" s="24">
        <v>1.129412</v>
      </c>
      <c r="AH346" s="24">
        <v>1.056604</v>
      </c>
      <c r="AI346" s="24">
        <v>1.022814</v>
      </c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</row>
    <row r="347">
      <c r="A347" s="51" t="s">
        <v>59</v>
      </c>
      <c r="B347" s="51" t="s">
        <v>111</v>
      </c>
      <c r="C347" s="24">
        <v>1986.0</v>
      </c>
      <c r="D347" s="24">
        <v>0.09142</v>
      </c>
      <c r="E347" s="52">
        <v>25.8</v>
      </c>
      <c r="F347" s="53">
        <f t="shared" si="1"/>
        <v>2.542609608</v>
      </c>
      <c r="G347" s="52">
        <v>6.8</v>
      </c>
      <c r="H347" s="54">
        <f t="shared" si="2"/>
        <v>0.6431746224</v>
      </c>
      <c r="I347" s="52">
        <v>9.8</v>
      </c>
      <c r="J347" s="54">
        <f t="shared" si="3"/>
        <v>1.510317274</v>
      </c>
      <c r="K347" s="55">
        <v>3.036585366</v>
      </c>
      <c r="L347" s="54">
        <f t="shared" si="4"/>
        <v>0.3028413938</v>
      </c>
      <c r="M347" s="55">
        <v>0.932926829</v>
      </c>
      <c r="N347" s="56">
        <f t="shared" si="5"/>
        <v>0.09011582232</v>
      </c>
      <c r="O347" s="57">
        <v>0.58</v>
      </c>
      <c r="P347" s="24">
        <v>21791.0</v>
      </c>
      <c r="Q347" s="24">
        <v>8974.0</v>
      </c>
      <c r="R347" s="24">
        <v>5695.0</v>
      </c>
      <c r="S347" s="24">
        <v>755.0</v>
      </c>
      <c r="T347" s="24">
        <v>1556.0</v>
      </c>
      <c r="U347" s="24">
        <v>24.2932</v>
      </c>
      <c r="V347" s="24">
        <v>10.0045</v>
      </c>
      <c r="W347" s="24">
        <v>6.3489</v>
      </c>
      <c r="X347" s="24">
        <v>0.8417</v>
      </c>
      <c r="Y347" s="24">
        <v>1.7347</v>
      </c>
      <c r="Z347" s="24">
        <v>110.2</v>
      </c>
      <c r="AA347" s="24">
        <v>26.0</v>
      </c>
      <c r="AB347" s="24">
        <v>5.3</v>
      </c>
      <c r="AC347" s="24">
        <v>43.6</v>
      </c>
      <c r="AD347" s="24">
        <v>8.8</v>
      </c>
      <c r="AE347" s="24">
        <v>1.078</v>
      </c>
      <c r="AF347" s="24">
        <v>1.68578</v>
      </c>
      <c r="AG347" s="24">
        <v>1.090909</v>
      </c>
      <c r="AH347" s="24">
        <v>1.056604</v>
      </c>
      <c r="AI347" s="24">
        <v>1.034615</v>
      </c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</row>
    <row r="348">
      <c r="A348" s="51" t="s">
        <v>59</v>
      </c>
      <c r="B348" s="51" t="s">
        <v>111</v>
      </c>
      <c r="C348" s="24">
        <v>1987.0</v>
      </c>
      <c r="D348" s="24">
        <v>0.0825</v>
      </c>
      <c r="E348" s="52">
        <v>28.1</v>
      </c>
      <c r="F348" s="53">
        <f t="shared" si="1"/>
        <v>2.50602825</v>
      </c>
      <c r="G348" s="52">
        <v>7.6</v>
      </c>
      <c r="H348" s="54">
        <f t="shared" si="2"/>
        <v>0.648703605</v>
      </c>
      <c r="I348" s="52">
        <v>9.2</v>
      </c>
      <c r="J348" s="54">
        <f t="shared" si="3"/>
        <v>1.267875345</v>
      </c>
      <c r="K348" s="55">
        <v>2.736486486</v>
      </c>
      <c r="L348" s="54">
        <f t="shared" si="4"/>
        <v>0.2520112978</v>
      </c>
      <c r="M348" s="55">
        <v>1.418918919</v>
      </c>
      <c r="N348" s="56">
        <f t="shared" si="5"/>
        <v>0.1191892105</v>
      </c>
      <c r="O348" s="57">
        <v>0.612</v>
      </c>
      <c r="P348" s="24">
        <v>21791.0</v>
      </c>
      <c r="Q348" s="24">
        <v>8974.0</v>
      </c>
      <c r="R348" s="24">
        <v>5695.0</v>
      </c>
      <c r="S348" s="24">
        <v>755.0</v>
      </c>
      <c r="T348" s="24">
        <v>1556.0</v>
      </c>
      <c r="U348" s="24">
        <v>24.2932</v>
      </c>
      <c r="V348" s="24">
        <v>10.0045</v>
      </c>
      <c r="W348" s="24">
        <v>6.3489</v>
      </c>
      <c r="X348" s="24">
        <v>0.8417</v>
      </c>
      <c r="Y348" s="24">
        <v>1.7347</v>
      </c>
      <c r="Z348" s="24">
        <v>109.9</v>
      </c>
      <c r="AA348" s="24">
        <v>26.0</v>
      </c>
      <c r="AB348" s="24">
        <v>5.5</v>
      </c>
      <c r="AC348" s="24">
        <v>44.0</v>
      </c>
      <c r="AD348" s="24">
        <v>8.6</v>
      </c>
      <c r="AE348" s="24">
        <v>1.081</v>
      </c>
      <c r="AF348" s="24">
        <v>1.670455</v>
      </c>
      <c r="AG348" s="24">
        <v>1.116279</v>
      </c>
      <c r="AH348" s="24">
        <v>1.018182</v>
      </c>
      <c r="AI348" s="24">
        <v>1.034615</v>
      </c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</row>
    <row r="349">
      <c r="A349" s="51" t="s">
        <v>59</v>
      </c>
      <c r="B349" s="51" t="s">
        <v>111</v>
      </c>
      <c r="C349" s="24">
        <v>1988.0</v>
      </c>
      <c r="D349" s="24">
        <v>0.08473</v>
      </c>
      <c r="E349" s="52">
        <v>29.9</v>
      </c>
      <c r="F349" s="53">
        <f t="shared" si="1"/>
        <v>2.781702846</v>
      </c>
      <c r="G349" s="52">
        <v>6.1</v>
      </c>
      <c r="H349" s="54">
        <f t="shared" si="2"/>
        <v>0.5388895445</v>
      </c>
      <c r="I349" s="52">
        <v>9.3</v>
      </c>
      <c r="J349" s="54">
        <f t="shared" si="3"/>
        <v>1.334497195</v>
      </c>
      <c r="K349" s="55">
        <v>2.467105263</v>
      </c>
      <c r="L349" s="54">
        <f t="shared" si="4"/>
        <v>0.2360898325</v>
      </c>
      <c r="M349" s="55">
        <v>1.125</v>
      </c>
      <c r="N349" s="56">
        <f t="shared" si="5"/>
        <v>0.09885166314</v>
      </c>
      <c r="O349" s="57">
        <v>0.608</v>
      </c>
      <c r="P349" s="24">
        <v>21791.0</v>
      </c>
      <c r="Q349" s="24">
        <v>8974.0</v>
      </c>
      <c r="R349" s="24">
        <v>5695.0</v>
      </c>
      <c r="S349" s="24">
        <v>755.0</v>
      </c>
      <c r="T349" s="24">
        <v>1556.0</v>
      </c>
      <c r="U349" s="24">
        <v>24.2932</v>
      </c>
      <c r="V349" s="24">
        <v>10.0045</v>
      </c>
      <c r="W349" s="24">
        <v>6.3489</v>
      </c>
      <c r="X349" s="24">
        <v>0.8417</v>
      </c>
      <c r="Y349" s="24">
        <v>1.7347</v>
      </c>
      <c r="Z349" s="24">
        <v>108.2</v>
      </c>
      <c r="AA349" s="24">
        <v>25.8</v>
      </c>
      <c r="AB349" s="24">
        <v>5.4</v>
      </c>
      <c r="AC349" s="24">
        <v>43.4</v>
      </c>
      <c r="AD349" s="24">
        <v>8.5</v>
      </c>
      <c r="AE349" s="24">
        <v>1.098</v>
      </c>
      <c r="AF349" s="24">
        <v>1.693548</v>
      </c>
      <c r="AG349" s="24">
        <v>1.129412</v>
      </c>
      <c r="AH349" s="24">
        <v>1.037037</v>
      </c>
      <c r="AI349" s="24">
        <v>1.042636</v>
      </c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</row>
    <row r="350">
      <c r="A350" s="51" t="s">
        <v>59</v>
      </c>
      <c r="B350" s="51" t="s">
        <v>111</v>
      </c>
      <c r="C350" s="24">
        <v>1989.0</v>
      </c>
      <c r="D350" s="24">
        <v>0.00669</v>
      </c>
      <c r="E350" s="52">
        <v>19.3</v>
      </c>
      <c r="F350" s="53">
        <f t="shared" si="1"/>
        <v>0.1404663843</v>
      </c>
      <c r="G350" s="52">
        <v>4.8</v>
      </c>
      <c r="H350" s="54">
        <f t="shared" si="2"/>
        <v>0.03374267947</v>
      </c>
      <c r="I350" s="52">
        <v>6.2</v>
      </c>
      <c r="J350" s="54">
        <f t="shared" si="3"/>
        <v>0.06944495628</v>
      </c>
      <c r="K350" s="55">
        <v>1.5</v>
      </c>
      <c r="L350" s="54">
        <f t="shared" si="4"/>
        <v>0.01058637308</v>
      </c>
      <c r="M350" s="55">
        <v>1.25</v>
      </c>
      <c r="N350" s="56">
        <f t="shared" si="5"/>
        <v>0.00883585095</v>
      </c>
      <c r="O350" s="57">
        <v>0.516</v>
      </c>
      <c r="P350" s="24">
        <v>21791.0</v>
      </c>
      <c r="Q350" s="24">
        <v>8974.0</v>
      </c>
      <c r="R350" s="24">
        <v>5695.0</v>
      </c>
      <c r="S350" s="24">
        <v>755.0</v>
      </c>
      <c r="T350" s="24">
        <v>1556.0</v>
      </c>
      <c r="U350" s="24">
        <v>24.2932</v>
      </c>
      <c r="V350" s="24">
        <v>10.0045</v>
      </c>
      <c r="W350" s="24">
        <v>6.3489</v>
      </c>
      <c r="X350" s="24">
        <v>0.8417</v>
      </c>
      <c r="Y350" s="24">
        <v>1.7347</v>
      </c>
      <c r="Z350" s="24">
        <v>109.2</v>
      </c>
      <c r="AA350" s="24">
        <v>25.6</v>
      </c>
      <c r="AB350" s="24">
        <v>5.3</v>
      </c>
      <c r="AC350" s="24">
        <v>43.9</v>
      </c>
      <c r="AD350" s="24">
        <v>9.1</v>
      </c>
      <c r="AE350" s="24">
        <v>1.0879</v>
      </c>
      <c r="AF350" s="24">
        <v>1.67426</v>
      </c>
      <c r="AG350" s="24">
        <v>1.054945</v>
      </c>
      <c r="AH350" s="24">
        <v>1.056604</v>
      </c>
      <c r="AI350" s="24">
        <v>1.050781</v>
      </c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</row>
    <row r="351">
      <c r="A351" s="51" t="s">
        <v>59</v>
      </c>
      <c r="B351" s="51" t="s">
        <v>111</v>
      </c>
      <c r="C351" s="24">
        <v>1990.0</v>
      </c>
      <c r="D351" s="24">
        <v>0.08361</v>
      </c>
      <c r="E351" s="52">
        <v>24.3</v>
      </c>
      <c r="F351" s="53">
        <f t="shared" si="1"/>
        <v>2.255822047</v>
      </c>
      <c r="G351" s="52">
        <v>7.5</v>
      </c>
      <c r="H351" s="54">
        <f t="shared" si="2"/>
        <v>0.6774422911</v>
      </c>
      <c r="I351" s="52">
        <v>9.5</v>
      </c>
      <c r="J351" s="54">
        <f t="shared" si="3"/>
        <v>1.354539858</v>
      </c>
      <c r="K351" s="55">
        <v>2.12</v>
      </c>
      <c r="L351" s="54">
        <f t="shared" si="4"/>
        <v>0.2001918911</v>
      </c>
      <c r="M351" s="55">
        <v>1.22</v>
      </c>
      <c r="N351" s="56">
        <f t="shared" si="5"/>
        <v>0.1120045898</v>
      </c>
      <c r="O351" s="57">
        <v>0.546</v>
      </c>
      <c r="P351" s="24">
        <v>21791.0</v>
      </c>
      <c r="Q351" s="24">
        <v>8974.0</v>
      </c>
      <c r="R351" s="24">
        <v>5695.0</v>
      </c>
      <c r="S351" s="24">
        <v>755.0</v>
      </c>
      <c r="T351" s="24">
        <v>1556.0</v>
      </c>
      <c r="U351" s="24">
        <v>24.2932</v>
      </c>
      <c r="V351" s="24">
        <v>10.0045</v>
      </c>
      <c r="W351" s="24">
        <v>6.3489</v>
      </c>
      <c r="X351" s="24">
        <v>0.8417</v>
      </c>
      <c r="Y351" s="24">
        <v>1.7347</v>
      </c>
      <c r="Z351" s="24">
        <v>107.0</v>
      </c>
      <c r="AA351" s="24">
        <v>24.9</v>
      </c>
      <c r="AB351" s="24">
        <v>5.1</v>
      </c>
      <c r="AC351" s="24">
        <v>43.1</v>
      </c>
      <c r="AD351" s="24">
        <v>8.5</v>
      </c>
      <c r="AE351" s="24">
        <v>1.1103</v>
      </c>
      <c r="AF351" s="24">
        <v>1.705336</v>
      </c>
      <c r="AG351" s="24">
        <v>1.129412</v>
      </c>
      <c r="AH351" s="24">
        <v>1.098039</v>
      </c>
      <c r="AI351" s="24">
        <v>1.080321</v>
      </c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</row>
    <row r="352">
      <c r="A352" s="51" t="s">
        <v>59</v>
      </c>
      <c r="B352" s="51" t="s">
        <v>111</v>
      </c>
      <c r="C352" s="24">
        <v>1991.0</v>
      </c>
      <c r="D352" s="24">
        <v>0.06689</v>
      </c>
      <c r="E352" s="52">
        <v>19.4</v>
      </c>
      <c r="F352" s="53">
        <f t="shared" si="1"/>
        <v>1.450271522</v>
      </c>
      <c r="G352" s="52">
        <v>7.2</v>
      </c>
      <c r="H352" s="54">
        <f t="shared" si="2"/>
        <v>0.524504343</v>
      </c>
      <c r="I352" s="52">
        <v>8.5</v>
      </c>
      <c r="J352" s="54">
        <f t="shared" si="3"/>
        <v>0.9651163449</v>
      </c>
      <c r="K352" s="55">
        <v>2.7</v>
      </c>
      <c r="L352" s="54">
        <f t="shared" si="4"/>
        <v>0.2016033362</v>
      </c>
      <c r="M352" s="55">
        <v>1.45</v>
      </c>
      <c r="N352" s="56">
        <f t="shared" si="5"/>
        <v>0.1024805503</v>
      </c>
      <c r="O352" s="57">
        <v>0.53</v>
      </c>
      <c r="P352" s="24">
        <v>21791.0</v>
      </c>
      <c r="Q352" s="24">
        <v>8974.0</v>
      </c>
      <c r="R352" s="24">
        <v>5695.0</v>
      </c>
      <c r="S352" s="24">
        <v>755.0</v>
      </c>
      <c r="T352" s="24">
        <v>1556.0</v>
      </c>
      <c r="U352" s="24">
        <v>24.2932</v>
      </c>
      <c r="V352" s="24">
        <v>10.0045</v>
      </c>
      <c r="W352" s="24">
        <v>6.3489</v>
      </c>
      <c r="X352" s="24">
        <v>0.8417</v>
      </c>
      <c r="Y352" s="24">
        <v>1.7347</v>
      </c>
      <c r="Z352" s="24">
        <v>106.3</v>
      </c>
      <c r="AA352" s="24">
        <v>24.7</v>
      </c>
      <c r="AB352" s="24">
        <v>5.3</v>
      </c>
      <c r="AC352" s="24">
        <v>43.3</v>
      </c>
      <c r="AD352" s="24">
        <v>8.6</v>
      </c>
      <c r="AE352" s="24">
        <v>1.1176</v>
      </c>
      <c r="AF352" s="24">
        <v>1.69746</v>
      </c>
      <c r="AG352" s="24">
        <v>1.116279</v>
      </c>
      <c r="AH352" s="24">
        <v>1.056604</v>
      </c>
      <c r="AI352" s="24">
        <v>1.089069</v>
      </c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</row>
    <row r="353">
      <c r="A353" s="51" t="s">
        <v>59</v>
      </c>
      <c r="B353" s="51" t="s">
        <v>111</v>
      </c>
      <c r="C353" s="24">
        <v>1992.0</v>
      </c>
      <c r="D353" s="24">
        <v>0.05017</v>
      </c>
      <c r="E353" s="52">
        <v>20.2</v>
      </c>
      <c r="F353" s="53">
        <f t="shared" si="1"/>
        <v>1.143356239</v>
      </c>
      <c r="G353" s="52">
        <v>6.8</v>
      </c>
      <c r="H353" s="54">
        <f t="shared" si="2"/>
        <v>0.3745753006</v>
      </c>
      <c r="I353" s="52">
        <v>9.6</v>
      </c>
      <c r="J353" s="54">
        <f t="shared" si="3"/>
        <v>0.8100674567</v>
      </c>
      <c r="K353" s="55">
        <v>1.4</v>
      </c>
      <c r="L353" s="54">
        <f t="shared" si="4"/>
        <v>0.0784052044</v>
      </c>
      <c r="M353" s="55">
        <v>1.1</v>
      </c>
      <c r="N353" s="56">
        <f t="shared" si="5"/>
        <v>0.05619041003</v>
      </c>
      <c r="O353" s="57">
        <v>0.547</v>
      </c>
      <c r="P353" s="24">
        <v>21791.0</v>
      </c>
      <c r="Q353" s="24">
        <v>8974.0</v>
      </c>
      <c r="R353" s="24">
        <v>5695.0</v>
      </c>
      <c r="S353" s="24">
        <v>755.0</v>
      </c>
      <c r="T353" s="24">
        <v>1556.0</v>
      </c>
      <c r="U353" s="24">
        <v>24.2932</v>
      </c>
      <c r="V353" s="24">
        <v>10.0045</v>
      </c>
      <c r="W353" s="24">
        <v>6.3489</v>
      </c>
      <c r="X353" s="24">
        <v>0.8417</v>
      </c>
      <c r="Y353" s="24">
        <v>1.7347</v>
      </c>
      <c r="Z353" s="24">
        <v>105.3</v>
      </c>
      <c r="AA353" s="24">
        <v>24.5</v>
      </c>
      <c r="AB353" s="24">
        <v>5.5</v>
      </c>
      <c r="AC353" s="24">
        <v>43.7</v>
      </c>
      <c r="AD353" s="24">
        <v>8.6</v>
      </c>
      <c r="AE353" s="24">
        <v>1.1282</v>
      </c>
      <c r="AF353" s="24">
        <v>1.681922</v>
      </c>
      <c r="AG353" s="24">
        <v>1.116279</v>
      </c>
      <c r="AH353" s="24">
        <v>1.018182</v>
      </c>
      <c r="AI353" s="24">
        <v>1.097959</v>
      </c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</row>
    <row r="354">
      <c r="A354" s="51" t="s">
        <v>37</v>
      </c>
      <c r="B354" s="51" t="s">
        <v>111</v>
      </c>
      <c r="C354" s="24">
        <v>2004.0</v>
      </c>
      <c r="D354" s="24">
        <v>0.05147</v>
      </c>
      <c r="E354" s="52">
        <v>20.9</v>
      </c>
      <c r="F354" s="53">
        <f t="shared" si="1"/>
        <v>1.368212084</v>
      </c>
      <c r="G354" s="52">
        <v>5.9</v>
      </c>
      <c r="H354" s="54">
        <f t="shared" si="2"/>
        <v>0.3835119721</v>
      </c>
      <c r="I354" s="52">
        <v>5.5</v>
      </c>
      <c r="J354" s="54">
        <f t="shared" si="3"/>
        <v>0.493050843</v>
      </c>
      <c r="K354" s="55">
        <v>2.46835443</v>
      </c>
      <c r="L354" s="54">
        <f t="shared" si="4"/>
        <v>0.1543852748</v>
      </c>
      <c r="M354" s="55">
        <v>1.101265823</v>
      </c>
      <c r="N354" s="56">
        <f t="shared" si="5"/>
        <v>0.0622392134</v>
      </c>
      <c r="O354" s="57">
        <v>0.488</v>
      </c>
      <c r="P354" s="24">
        <v>41498.0</v>
      </c>
      <c r="Q354" s="24">
        <v>11507.0</v>
      </c>
      <c r="R354" s="24">
        <v>11396.0</v>
      </c>
      <c r="S354" s="24">
        <v>1134.0</v>
      </c>
      <c r="T354" s="24">
        <v>2311.0</v>
      </c>
      <c r="U354" s="24">
        <v>27.0345</v>
      </c>
      <c r="V354" s="24">
        <v>7.4964</v>
      </c>
      <c r="W354" s="24">
        <v>7.4241</v>
      </c>
      <c r="X354" s="24">
        <v>0.7388</v>
      </c>
      <c r="Y354" s="24">
        <v>1.5055</v>
      </c>
      <c r="Z354" s="24">
        <v>93.4</v>
      </c>
      <c r="AA354" s="24">
        <v>21.3</v>
      </c>
      <c r="AB354" s="24">
        <v>5.1</v>
      </c>
      <c r="AC354" s="24">
        <v>42.2</v>
      </c>
      <c r="AD354" s="24">
        <v>7.9</v>
      </c>
      <c r="AE354" s="24">
        <v>1.2719</v>
      </c>
      <c r="AF354" s="24">
        <v>1.741706</v>
      </c>
      <c r="AG354" s="24">
        <v>1.21519</v>
      </c>
      <c r="AH354" s="24">
        <v>1.098039</v>
      </c>
      <c r="AI354" s="24">
        <v>1.262911</v>
      </c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</row>
    <row r="355">
      <c r="A355" s="51" t="s">
        <v>37</v>
      </c>
      <c r="B355" s="51" t="s">
        <v>111</v>
      </c>
      <c r="C355" s="24">
        <v>2005.0</v>
      </c>
      <c r="D355" s="24">
        <v>0.05212</v>
      </c>
      <c r="E355" s="52">
        <v>27.2</v>
      </c>
      <c r="F355" s="53">
        <f t="shared" si="1"/>
        <v>1.732668941</v>
      </c>
      <c r="G355" s="52">
        <v>7.2</v>
      </c>
      <c r="H355" s="54">
        <f t="shared" si="2"/>
        <v>0.4739250335</v>
      </c>
      <c r="I355" s="52">
        <v>7.4</v>
      </c>
      <c r="J355" s="54">
        <f t="shared" si="3"/>
        <v>0.6765650188</v>
      </c>
      <c r="K355" s="55">
        <v>3.31875</v>
      </c>
      <c r="L355" s="54">
        <f t="shared" si="4"/>
        <v>0.22140576</v>
      </c>
      <c r="M355" s="55">
        <v>0.975</v>
      </c>
      <c r="N355" s="56">
        <f t="shared" si="5"/>
        <v>0.05807656417</v>
      </c>
      <c r="O355" s="57">
        <v>0.554</v>
      </c>
      <c r="P355" s="24">
        <v>41498.0</v>
      </c>
      <c r="Q355" s="24">
        <v>11507.0</v>
      </c>
      <c r="R355" s="24">
        <v>11396.0</v>
      </c>
      <c r="S355" s="24">
        <v>1134.0</v>
      </c>
      <c r="T355" s="24">
        <v>2311.0</v>
      </c>
      <c r="U355" s="24">
        <v>27.0345</v>
      </c>
      <c r="V355" s="24">
        <v>7.4964</v>
      </c>
      <c r="W355" s="24">
        <v>7.4241</v>
      </c>
      <c r="X355" s="24">
        <v>0.7388</v>
      </c>
      <c r="Y355" s="24">
        <v>1.5055</v>
      </c>
      <c r="Z355" s="24">
        <v>97.2</v>
      </c>
      <c r="AA355" s="24">
        <v>21.3</v>
      </c>
      <c r="AB355" s="24">
        <v>4.9</v>
      </c>
      <c r="AC355" s="24">
        <v>41.9</v>
      </c>
      <c r="AD355" s="24">
        <v>7.5</v>
      </c>
      <c r="AE355" s="24">
        <v>1.2222</v>
      </c>
      <c r="AF355" s="24">
        <v>1.754177</v>
      </c>
      <c r="AG355" s="24">
        <v>1.28</v>
      </c>
      <c r="AH355" s="24">
        <v>1.142857</v>
      </c>
      <c r="AI355" s="24">
        <v>1.262911</v>
      </c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</row>
    <row r="356">
      <c r="A356" s="51" t="s">
        <v>37</v>
      </c>
      <c r="B356" s="51" t="s">
        <v>111</v>
      </c>
      <c r="C356" s="24">
        <v>2006.0</v>
      </c>
      <c r="D356" s="24">
        <v>0.05147</v>
      </c>
      <c r="E356" s="52">
        <v>31.4</v>
      </c>
      <c r="F356" s="53">
        <f t="shared" si="1"/>
        <v>1.979308703</v>
      </c>
      <c r="G356" s="52">
        <v>6.6</v>
      </c>
      <c r="H356" s="54">
        <f t="shared" si="2"/>
        <v>0.4435913642</v>
      </c>
      <c r="I356" s="52">
        <v>7.0</v>
      </c>
      <c r="J356" s="54">
        <f t="shared" si="3"/>
        <v>0.6458857581</v>
      </c>
      <c r="K356" s="55">
        <v>2.335443038</v>
      </c>
      <c r="L356" s="54">
        <f t="shared" si="4"/>
        <v>0.1602736308</v>
      </c>
      <c r="M356" s="55">
        <v>1.253164557</v>
      </c>
      <c r="N356" s="56">
        <f t="shared" si="5"/>
        <v>0.07685149297</v>
      </c>
      <c r="O356" s="57">
        <v>0.568</v>
      </c>
      <c r="P356" s="24">
        <v>41498.0</v>
      </c>
      <c r="Q356" s="24">
        <v>11507.0</v>
      </c>
      <c r="R356" s="24">
        <v>11396.0</v>
      </c>
      <c r="S356" s="24">
        <v>1134.0</v>
      </c>
      <c r="T356" s="24">
        <v>2311.0</v>
      </c>
      <c r="U356" s="24">
        <v>27.0345</v>
      </c>
      <c r="V356" s="24">
        <v>7.4964</v>
      </c>
      <c r="W356" s="24">
        <v>7.4241</v>
      </c>
      <c r="X356" s="24">
        <v>0.7388</v>
      </c>
      <c r="Y356" s="24">
        <v>1.5055</v>
      </c>
      <c r="Z356" s="24">
        <v>97.0</v>
      </c>
      <c r="AA356" s="24">
        <v>20.6</v>
      </c>
      <c r="AB356" s="24">
        <v>4.7</v>
      </c>
      <c r="AC356" s="24">
        <v>41.0</v>
      </c>
      <c r="AD356" s="24">
        <v>7.2</v>
      </c>
      <c r="AE356" s="24">
        <v>1.2247</v>
      </c>
      <c r="AF356" s="24">
        <v>1.792683</v>
      </c>
      <c r="AG356" s="24">
        <v>1.333333</v>
      </c>
      <c r="AH356" s="24">
        <v>1.191489</v>
      </c>
      <c r="AI356" s="24">
        <v>1.305825</v>
      </c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</row>
    <row r="357">
      <c r="A357" s="51" t="s">
        <v>37</v>
      </c>
      <c r="B357" s="51" t="s">
        <v>111</v>
      </c>
      <c r="C357" s="24">
        <v>2007.0</v>
      </c>
      <c r="D357" s="24">
        <v>0.05081</v>
      </c>
      <c r="E357" s="52">
        <v>27.3</v>
      </c>
      <c r="F357" s="53">
        <f t="shared" si="1"/>
        <v>1.669529207</v>
      </c>
      <c r="G357" s="52">
        <v>6.0</v>
      </c>
      <c r="H357" s="54">
        <f t="shared" si="2"/>
        <v>0.3850110475</v>
      </c>
      <c r="I357" s="52">
        <v>6.7</v>
      </c>
      <c r="J357" s="54">
        <f t="shared" si="3"/>
        <v>0.6087927531</v>
      </c>
      <c r="K357" s="55">
        <v>2.403846154</v>
      </c>
      <c r="L357" s="54">
        <f t="shared" si="4"/>
        <v>0.1628525234</v>
      </c>
      <c r="M357" s="55">
        <v>1.057692308</v>
      </c>
      <c r="N357" s="56">
        <f t="shared" si="5"/>
        <v>0.06542423115</v>
      </c>
      <c r="O357" s="57">
        <v>0.552</v>
      </c>
      <c r="P357" s="24">
        <v>41498.0</v>
      </c>
      <c r="Q357" s="24">
        <v>11507.0</v>
      </c>
      <c r="R357" s="24">
        <v>11396.0</v>
      </c>
      <c r="S357" s="24">
        <v>1134.0</v>
      </c>
      <c r="T357" s="24">
        <v>2311.0</v>
      </c>
      <c r="U357" s="24">
        <v>27.0345</v>
      </c>
      <c r="V357" s="24">
        <v>7.4964</v>
      </c>
      <c r="W357" s="24">
        <v>7.4241</v>
      </c>
      <c r="X357" s="24">
        <v>0.7388</v>
      </c>
      <c r="Y357" s="24">
        <v>1.5055</v>
      </c>
      <c r="Z357" s="24">
        <v>98.7</v>
      </c>
      <c r="AA357" s="24">
        <v>21.3</v>
      </c>
      <c r="AB357" s="24">
        <v>4.6</v>
      </c>
      <c r="AC357" s="24">
        <v>41.1</v>
      </c>
      <c r="AD357" s="24">
        <v>7.2</v>
      </c>
      <c r="AE357" s="24">
        <v>1.2036</v>
      </c>
      <c r="AF357" s="24">
        <v>1.788321</v>
      </c>
      <c r="AG357" s="24">
        <v>1.333333</v>
      </c>
      <c r="AH357" s="24">
        <v>1.217391</v>
      </c>
      <c r="AI357" s="24">
        <v>1.262911</v>
      </c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</row>
    <row r="358">
      <c r="A358" s="51" t="s">
        <v>37</v>
      </c>
      <c r="B358" s="51" t="s">
        <v>111</v>
      </c>
      <c r="C358" s="24">
        <v>2008.0</v>
      </c>
      <c r="D358" s="24">
        <v>0.04886</v>
      </c>
      <c r="E358" s="52">
        <v>30.0</v>
      </c>
      <c r="F358" s="53">
        <f t="shared" si="1"/>
        <v>1.74312936</v>
      </c>
      <c r="G358" s="52">
        <v>7.2</v>
      </c>
      <c r="H358" s="54">
        <f t="shared" si="2"/>
        <v>0.4340919794</v>
      </c>
      <c r="I358" s="52">
        <v>7.9</v>
      </c>
      <c r="J358" s="54">
        <f t="shared" si="3"/>
        <v>0.6754895</v>
      </c>
      <c r="K358" s="55">
        <v>2.76</v>
      </c>
      <c r="L358" s="54">
        <f t="shared" si="4"/>
        <v>0.177341654</v>
      </c>
      <c r="M358" s="55">
        <v>1.62</v>
      </c>
      <c r="N358" s="56">
        <f t="shared" si="5"/>
        <v>0.09431016711</v>
      </c>
      <c r="O358" s="57">
        <v>0.568</v>
      </c>
      <c r="P358" s="24">
        <v>41498.0</v>
      </c>
      <c r="Q358" s="24">
        <v>11507.0</v>
      </c>
      <c r="R358" s="24">
        <v>11396.0</v>
      </c>
      <c r="S358" s="24">
        <v>1134.0</v>
      </c>
      <c r="T358" s="24">
        <v>2311.0</v>
      </c>
      <c r="U358" s="24">
        <v>27.0345</v>
      </c>
      <c r="V358" s="24">
        <v>7.4964</v>
      </c>
      <c r="W358" s="24">
        <v>7.4241</v>
      </c>
      <c r="X358" s="24">
        <v>0.7388</v>
      </c>
      <c r="Y358" s="24">
        <v>1.5055</v>
      </c>
      <c r="Z358" s="24">
        <v>99.9</v>
      </c>
      <c r="AA358" s="24">
        <v>21.8</v>
      </c>
      <c r="AB358" s="24">
        <v>4.7</v>
      </c>
      <c r="AC358" s="24">
        <v>42.0</v>
      </c>
      <c r="AD358" s="24">
        <v>7.3</v>
      </c>
      <c r="AE358" s="24">
        <v>1.1892</v>
      </c>
      <c r="AF358" s="24">
        <v>1.75</v>
      </c>
      <c r="AG358" s="24">
        <v>1.315068</v>
      </c>
      <c r="AH358" s="24">
        <v>1.191489</v>
      </c>
      <c r="AI358" s="24">
        <v>1.233945</v>
      </c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</row>
    <row r="359">
      <c r="A359" s="51" t="s">
        <v>37</v>
      </c>
      <c r="B359" s="51" t="s">
        <v>111</v>
      </c>
      <c r="C359" s="24">
        <v>2009.0</v>
      </c>
      <c r="D359" s="24">
        <v>0.05277</v>
      </c>
      <c r="E359" s="52">
        <v>28.4</v>
      </c>
      <c r="F359" s="53">
        <f t="shared" si="1"/>
        <v>1.780417584</v>
      </c>
      <c r="G359" s="52">
        <v>7.2</v>
      </c>
      <c r="H359" s="54">
        <f t="shared" si="2"/>
        <v>0.4866900267</v>
      </c>
      <c r="I359" s="52">
        <v>7.6</v>
      </c>
      <c r="J359" s="54">
        <f t="shared" si="3"/>
        <v>0.7137366034</v>
      </c>
      <c r="K359" s="55">
        <v>2.537037037</v>
      </c>
      <c r="L359" s="54">
        <f t="shared" si="4"/>
        <v>0.1760605732</v>
      </c>
      <c r="M359" s="55">
        <v>1.722222222</v>
      </c>
      <c r="N359" s="56">
        <f t="shared" si="5"/>
        <v>0.1060286414</v>
      </c>
      <c r="O359" s="57">
        <v>0.591</v>
      </c>
      <c r="P359" s="24">
        <v>41498.0</v>
      </c>
      <c r="Q359" s="24">
        <v>11507.0</v>
      </c>
      <c r="R359" s="24">
        <v>11396.0</v>
      </c>
      <c r="S359" s="24">
        <v>1134.0</v>
      </c>
      <c r="T359" s="24">
        <v>2311.0</v>
      </c>
      <c r="U359" s="24">
        <v>27.0345</v>
      </c>
      <c r="V359" s="24">
        <v>7.4964</v>
      </c>
      <c r="W359" s="24">
        <v>7.4241</v>
      </c>
      <c r="X359" s="24">
        <v>0.7388</v>
      </c>
      <c r="Y359" s="24">
        <v>1.5055</v>
      </c>
      <c r="Z359" s="24">
        <v>100.0</v>
      </c>
      <c r="AA359" s="24">
        <v>21.0</v>
      </c>
      <c r="AB359" s="24">
        <v>4.8</v>
      </c>
      <c r="AC359" s="24">
        <v>41.3</v>
      </c>
      <c r="AD359" s="24">
        <v>7.3</v>
      </c>
      <c r="AE359" s="24">
        <v>1.188</v>
      </c>
      <c r="AF359" s="24">
        <v>1.779661</v>
      </c>
      <c r="AG359" s="24">
        <v>1.315068</v>
      </c>
      <c r="AH359" s="24">
        <v>1.166667</v>
      </c>
      <c r="AI359" s="24">
        <v>1.280952</v>
      </c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</row>
    <row r="360">
      <c r="A360" s="51" t="s">
        <v>37</v>
      </c>
      <c r="B360" s="51" t="s">
        <v>111</v>
      </c>
      <c r="C360" s="24">
        <v>2010.0</v>
      </c>
      <c r="D360" s="24">
        <v>0.04951</v>
      </c>
      <c r="E360" s="52">
        <v>29.7</v>
      </c>
      <c r="F360" s="53">
        <f t="shared" si="1"/>
        <v>1.739979935</v>
      </c>
      <c r="G360" s="52">
        <v>8.6</v>
      </c>
      <c r="H360" s="54">
        <f t="shared" si="2"/>
        <v>0.5402662302</v>
      </c>
      <c r="I360" s="52">
        <v>7.3</v>
      </c>
      <c r="J360" s="54">
        <f t="shared" si="3"/>
        <v>0.6370405656</v>
      </c>
      <c r="K360" s="55">
        <v>2.467105263</v>
      </c>
      <c r="L360" s="54">
        <f t="shared" si="4"/>
        <v>0.1628618014</v>
      </c>
      <c r="M360" s="55">
        <v>1.519736842</v>
      </c>
      <c r="N360" s="56">
        <f t="shared" si="5"/>
        <v>0.08599104188</v>
      </c>
      <c r="O360" s="57">
        <v>0.604</v>
      </c>
      <c r="P360" s="24">
        <v>41498.0</v>
      </c>
      <c r="Q360" s="24">
        <v>11507.0</v>
      </c>
      <c r="R360" s="24">
        <v>11396.0</v>
      </c>
      <c r="S360" s="24">
        <v>1134.0</v>
      </c>
      <c r="T360" s="24">
        <v>2311.0</v>
      </c>
      <c r="U360" s="24">
        <v>27.0345</v>
      </c>
      <c r="V360" s="24">
        <v>7.4964</v>
      </c>
      <c r="W360" s="24">
        <v>7.4241</v>
      </c>
      <c r="X360" s="24">
        <v>0.7388</v>
      </c>
      <c r="Y360" s="24">
        <v>1.5055</v>
      </c>
      <c r="Z360" s="24">
        <v>100.4</v>
      </c>
      <c r="AA360" s="24">
        <v>21.2</v>
      </c>
      <c r="AB360" s="24">
        <v>4.9</v>
      </c>
      <c r="AC360" s="24">
        <v>41.7</v>
      </c>
      <c r="AD360" s="24">
        <v>7.2</v>
      </c>
      <c r="AE360" s="24">
        <v>1.1833</v>
      </c>
      <c r="AF360" s="24">
        <v>1.76259</v>
      </c>
      <c r="AG360" s="24">
        <v>1.333333</v>
      </c>
      <c r="AH360" s="24">
        <v>1.142857</v>
      </c>
      <c r="AI360" s="24">
        <v>1.268868</v>
      </c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</row>
    <row r="361">
      <c r="A361" s="51" t="s">
        <v>37</v>
      </c>
      <c r="B361" s="51" t="s">
        <v>111</v>
      </c>
      <c r="C361" s="24">
        <v>2011.0</v>
      </c>
      <c r="D361" s="24">
        <v>0.05147</v>
      </c>
      <c r="E361" s="52">
        <v>26.7</v>
      </c>
      <c r="F361" s="53">
        <f t="shared" si="1"/>
        <v>1.639204207</v>
      </c>
      <c r="G361" s="52">
        <v>7.0</v>
      </c>
      <c r="H361" s="54">
        <f t="shared" si="2"/>
        <v>0.4507815173</v>
      </c>
      <c r="I361" s="52">
        <v>7.5</v>
      </c>
      <c r="J361" s="54">
        <f t="shared" si="3"/>
        <v>0.6853341161</v>
      </c>
      <c r="K361" s="55">
        <v>2.35443038</v>
      </c>
      <c r="L361" s="54">
        <f t="shared" si="4"/>
        <v>0.1593632695</v>
      </c>
      <c r="M361" s="55">
        <v>0.949367089</v>
      </c>
      <c r="N361" s="56">
        <f t="shared" si="5"/>
        <v>0.05584447767</v>
      </c>
      <c r="O361" s="57">
        <v>0.594</v>
      </c>
      <c r="P361" s="24">
        <v>41498.0</v>
      </c>
      <c r="Q361" s="24">
        <v>11507.0</v>
      </c>
      <c r="R361" s="24">
        <v>11396.0</v>
      </c>
      <c r="S361" s="24">
        <v>1134.0</v>
      </c>
      <c r="T361" s="24">
        <v>2311.0</v>
      </c>
      <c r="U361" s="24">
        <v>27.0345</v>
      </c>
      <c r="V361" s="24">
        <v>7.4964</v>
      </c>
      <c r="W361" s="24">
        <v>7.4241</v>
      </c>
      <c r="X361" s="24">
        <v>0.7388</v>
      </c>
      <c r="Y361" s="24">
        <v>1.5055</v>
      </c>
      <c r="Z361" s="24">
        <v>99.6</v>
      </c>
      <c r="AA361" s="24">
        <v>21.5</v>
      </c>
      <c r="AB361" s="24">
        <v>4.9</v>
      </c>
      <c r="AC361" s="24">
        <v>41.4</v>
      </c>
      <c r="AD361" s="24">
        <v>7.3</v>
      </c>
      <c r="AE361" s="24">
        <v>1.1928</v>
      </c>
      <c r="AF361" s="24">
        <v>1.775362</v>
      </c>
      <c r="AG361" s="24">
        <v>1.315068</v>
      </c>
      <c r="AH361" s="24">
        <v>1.142857</v>
      </c>
      <c r="AI361" s="24">
        <v>1.251163</v>
      </c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</row>
    <row r="362">
      <c r="A362" s="51" t="s">
        <v>37</v>
      </c>
      <c r="B362" s="51" t="s">
        <v>111</v>
      </c>
      <c r="C362" s="24">
        <v>2012.0</v>
      </c>
      <c r="D362" s="24">
        <v>0.04039</v>
      </c>
      <c r="E362" s="52">
        <v>27.1</v>
      </c>
      <c r="F362" s="53">
        <f t="shared" si="1"/>
        <v>1.350260318</v>
      </c>
      <c r="G362" s="52">
        <v>6.2</v>
      </c>
      <c r="H362" s="54">
        <f t="shared" si="2"/>
        <v>0.3207734379</v>
      </c>
      <c r="I362" s="52">
        <v>7.9</v>
      </c>
      <c r="J362" s="54">
        <f t="shared" si="3"/>
        <v>0.5557452922</v>
      </c>
      <c r="K362" s="55">
        <v>2.782258065</v>
      </c>
      <c r="L362" s="54">
        <f t="shared" si="4"/>
        <v>0.1401043711</v>
      </c>
      <c r="M362" s="55">
        <v>1.209677419</v>
      </c>
      <c r="N362" s="56">
        <f t="shared" si="5"/>
        <v>0.0536489458</v>
      </c>
      <c r="O362" s="57">
        <v>0.605</v>
      </c>
      <c r="P362" s="24">
        <v>41498.0</v>
      </c>
      <c r="Q362" s="24">
        <v>11507.0</v>
      </c>
      <c r="R362" s="24">
        <v>11396.0</v>
      </c>
      <c r="S362" s="24">
        <v>1134.0</v>
      </c>
      <c r="T362" s="24">
        <v>2311.0</v>
      </c>
      <c r="U362" s="24">
        <v>27.0345</v>
      </c>
      <c r="V362" s="24">
        <v>7.4964</v>
      </c>
      <c r="W362" s="24">
        <v>7.4241</v>
      </c>
      <c r="X362" s="24">
        <v>0.7388</v>
      </c>
      <c r="Y362" s="24">
        <v>1.5055</v>
      </c>
      <c r="Z362" s="24">
        <v>96.3</v>
      </c>
      <c r="AA362" s="24">
        <v>21.0</v>
      </c>
      <c r="AB362" s="24">
        <v>5.1</v>
      </c>
      <c r="AC362" s="24">
        <v>42.2</v>
      </c>
      <c r="AD362" s="24">
        <v>7.7</v>
      </c>
      <c r="AE362" s="24">
        <v>1.2336</v>
      </c>
      <c r="AF362" s="24">
        <v>1.741706</v>
      </c>
      <c r="AG362" s="24">
        <v>1.246753</v>
      </c>
      <c r="AH362" s="24">
        <v>1.098039</v>
      </c>
      <c r="AI362" s="24">
        <v>1.280952</v>
      </c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</row>
    <row r="363">
      <c r="A363" s="51" t="s">
        <v>37</v>
      </c>
      <c r="B363" s="51" t="s">
        <v>111</v>
      </c>
      <c r="C363" s="24">
        <v>2013.0</v>
      </c>
      <c r="D363" s="24">
        <v>0.04951</v>
      </c>
      <c r="E363" s="52">
        <v>26.8</v>
      </c>
      <c r="F363" s="53">
        <f t="shared" si="1"/>
        <v>1.606837148</v>
      </c>
      <c r="G363" s="52">
        <v>7.3</v>
      </c>
      <c r="H363" s="54">
        <f t="shared" si="2"/>
        <v>0.4399222685</v>
      </c>
      <c r="I363" s="52">
        <v>8.0</v>
      </c>
      <c r="J363" s="54">
        <f t="shared" si="3"/>
        <v>0.6914934954</v>
      </c>
      <c r="K363" s="55">
        <v>2.546052632</v>
      </c>
      <c r="L363" s="54">
        <f t="shared" si="4"/>
        <v>0.1551446673</v>
      </c>
      <c r="M363" s="55">
        <v>1.322368421</v>
      </c>
      <c r="N363" s="56">
        <f t="shared" si="5"/>
        <v>0.071889119</v>
      </c>
      <c r="O363" s="57">
        <v>0.64</v>
      </c>
      <c r="P363" s="24">
        <v>41498.0</v>
      </c>
      <c r="Q363" s="24">
        <v>11507.0</v>
      </c>
      <c r="R363" s="24">
        <v>11396.0</v>
      </c>
      <c r="S363" s="24">
        <v>1134.0</v>
      </c>
      <c r="T363" s="24">
        <v>2311.0</v>
      </c>
      <c r="U363" s="24">
        <v>27.0345</v>
      </c>
      <c r="V363" s="24">
        <v>7.4964</v>
      </c>
      <c r="W363" s="24">
        <v>7.4241</v>
      </c>
      <c r="X363" s="24">
        <v>0.7388</v>
      </c>
      <c r="Y363" s="24">
        <v>1.5055</v>
      </c>
      <c r="Z363" s="24">
        <v>98.1</v>
      </c>
      <c r="AA363" s="24">
        <v>22.1</v>
      </c>
      <c r="AB363" s="24">
        <v>5.1</v>
      </c>
      <c r="AC363" s="24">
        <v>42.1</v>
      </c>
      <c r="AD363" s="24">
        <v>7.8</v>
      </c>
      <c r="AE363" s="24">
        <v>1.211</v>
      </c>
      <c r="AF363" s="24">
        <v>1.745843</v>
      </c>
      <c r="AG363" s="24">
        <v>1.230769</v>
      </c>
      <c r="AH363" s="24">
        <v>1.098039</v>
      </c>
      <c r="AI363" s="24">
        <v>1.217195</v>
      </c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</row>
    <row r="364">
      <c r="A364" s="51" t="s">
        <v>37</v>
      </c>
      <c r="B364" s="51" t="s">
        <v>111</v>
      </c>
      <c r="C364" s="24">
        <v>2014.0</v>
      </c>
      <c r="D364" s="24">
        <v>0.05016</v>
      </c>
      <c r="E364" s="52">
        <v>27.1</v>
      </c>
      <c r="F364" s="53">
        <f t="shared" si="1"/>
        <v>1.598851003</v>
      </c>
      <c r="G364" s="52">
        <v>6.3</v>
      </c>
      <c r="H364" s="54">
        <f t="shared" si="2"/>
        <v>0.3863915138</v>
      </c>
      <c r="I364" s="52">
        <v>6.9</v>
      </c>
      <c r="J364" s="54">
        <f t="shared" si="3"/>
        <v>0.5957526223</v>
      </c>
      <c r="K364" s="55">
        <v>2.357142857</v>
      </c>
      <c r="L364" s="54">
        <f t="shared" si="4"/>
        <v>0.1474089504</v>
      </c>
      <c r="M364" s="55">
        <v>0.506493506</v>
      </c>
      <c r="N364" s="56">
        <f t="shared" si="5"/>
        <v>0.03027062908</v>
      </c>
      <c r="O364" s="57">
        <v>0.649</v>
      </c>
      <c r="P364" s="24">
        <v>41498.0</v>
      </c>
      <c r="Q364" s="24">
        <v>11507.0</v>
      </c>
      <c r="R364" s="24">
        <v>11396.0</v>
      </c>
      <c r="S364" s="24">
        <v>1134.0</v>
      </c>
      <c r="T364" s="24">
        <v>2311.0</v>
      </c>
      <c r="U364" s="24">
        <v>27.0345</v>
      </c>
      <c r="V364" s="24">
        <v>7.4964</v>
      </c>
      <c r="W364" s="24">
        <v>7.4241</v>
      </c>
      <c r="X364" s="24">
        <v>0.7388</v>
      </c>
      <c r="Y364" s="24">
        <v>1.5055</v>
      </c>
      <c r="Z364" s="24">
        <v>101.0</v>
      </c>
      <c r="AA364" s="24">
        <v>22.0</v>
      </c>
      <c r="AB364" s="24">
        <v>4.7</v>
      </c>
      <c r="AC364" s="24">
        <v>42.7</v>
      </c>
      <c r="AD364" s="24">
        <v>7.7</v>
      </c>
      <c r="AE364" s="24">
        <v>1.1762</v>
      </c>
      <c r="AF364" s="24">
        <v>1.721311</v>
      </c>
      <c r="AG364" s="24">
        <v>1.246753</v>
      </c>
      <c r="AH364" s="24">
        <v>1.191489</v>
      </c>
      <c r="AI364" s="24">
        <v>1.222727</v>
      </c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</row>
    <row r="365">
      <c r="A365" s="51" t="s">
        <v>37</v>
      </c>
      <c r="B365" s="51" t="s">
        <v>111</v>
      </c>
      <c r="C365" s="24">
        <v>2015.0</v>
      </c>
      <c r="D365" s="24">
        <v>0.04495</v>
      </c>
      <c r="E365" s="52">
        <v>25.3</v>
      </c>
      <c r="F365" s="53">
        <f t="shared" si="1"/>
        <v>1.35103518</v>
      </c>
      <c r="G365" s="52">
        <v>7.4</v>
      </c>
      <c r="H365" s="54">
        <f t="shared" si="2"/>
        <v>0.406715682</v>
      </c>
      <c r="I365" s="52">
        <v>6.0</v>
      </c>
      <c r="J365" s="54">
        <f t="shared" si="3"/>
        <v>0.457804962</v>
      </c>
      <c r="K365" s="55">
        <v>2.369565217</v>
      </c>
      <c r="L365" s="54">
        <f t="shared" si="4"/>
        <v>0.1327941013</v>
      </c>
      <c r="M365" s="55">
        <v>1.065217391</v>
      </c>
      <c r="N365" s="56">
        <f t="shared" si="5"/>
        <v>0.05586179131</v>
      </c>
      <c r="O365" s="57">
        <v>0.577</v>
      </c>
      <c r="P365" s="24">
        <v>41498.0</v>
      </c>
      <c r="Q365" s="24">
        <v>11507.0</v>
      </c>
      <c r="R365" s="24">
        <v>11396.0</v>
      </c>
      <c r="S365" s="24">
        <v>1134.0</v>
      </c>
      <c r="T365" s="24">
        <v>2311.0</v>
      </c>
      <c r="U365" s="24">
        <v>27.0345</v>
      </c>
      <c r="V365" s="24">
        <v>7.4964</v>
      </c>
      <c r="W365" s="24">
        <v>7.4241</v>
      </c>
      <c r="X365" s="24">
        <v>0.7388</v>
      </c>
      <c r="Y365" s="24">
        <v>1.5055</v>
      </c>
      <c r="Z365" s="24">
        <v>100.0</v>
      </c>
      <c r="AA365" s="24">
        <v>22.0</v>
      </c>
      <c r="AB365" s="24">
        <v>4.8</v>
      </c>
      <c r="AC365" s="24">
        <v>43.3</v>
      </c>
      <c r="AD365" s="24">
        <v>7.7</v>
      </c>
      <c r="AE365" s="24">
        <v>1.188</v>
      </c>
      <c r="AF365" s="24">
        <v>1.69746</v>
      </c>
      <c r="AG365" s="24">
        <v>1.246753</v>
      </c>
      <c r="AH365" s="24">
        <v>1.166667</v>
      </c>
      <c r="AI365" s="24">
        <v>1.222727</v>
      </c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</row>
    <row r="366">
      <c r="A366" s="51" t="s">
        <v>37</v>
      </c>
      <c r="B366" s="51" t="s">
        <v>111</v>
      </c>
      <c r="C366" s="24">
        <v>2016.0</v>
      </c>
      <c r="D366" s="24">
        <v>0.04951</v>
      </c>
      <c r="E366" s="52">
        <v>25.3</v>
      </c>
      <c r="F366" s="53">
        <f t="shared" si="1"/>
        <v>1.44901115</v>
      </c>
      <c r="G366" s="52">
        <v>6.8</v>
      </c>
      <c r="H366" s="54">
        <f t="shared" si="2"/>
        <v>0.4061152017</v>
      </c>
      <c r="I366" s="52">
        <v>7.4</v>
      </c>
      <c r="J366" s="54">
        <f t="shared" si="3"/>
        <v>0.6148056147</v>
      </c>
      <c r="K366" s="55">
        <v>2.052631579</v>
      </c>
      <c r="L366" s="54">
        <f t="shared" si="4"/>
        <v>0.1250778713</v>
      </c>
      <c r="M366" s="55">
        <v>0.967105263</v>
      </c>
      <c r="N366" s="56">
        <f t="shared" si="5"/>
        <v>0.05362714736</v>
      </c>
      <c r="O366" s="57">
        <v>0.588</v>
      </c>
      <c r="P366" s="24">
        <v>41498.0</v>
      </c>
      <c r="Q366" s="24">
        <v>11507.0</v>
      </c>
      <c r="R366" s="24">
        <v>11396.0</v>
      </c>
      <c r="S366" s="24">
        <v>1134.0</v>
      </c>
      <c r="T366" s="24">
        <v>2311.0</v>
      </c>
      <c r="U366" s="24">
        <v>27.0345</v>
      </c>
      <c r="V366" s="24">
        <v>7.4964</v>
      </c>
      <c r="W366" s="24">
        <v>7.4241</v>
      </c>
      <c r="X366" s="24">
        <v>0.7388</v>
      </c>
      <c r="Y366" s="24">
        <v>1.5055</v>
      </c>
      <c r="Z366" s="24">
        <v>102.7</v>
      </c>
      <c r="AA366" s="24">
        <v>22.3</v>
      </c>
      <c r="AB366" s="24">
        <v>5.0</v>
      </c>
      <c r="AC366" s="24">
        <v>43.8</v>
      </c>
      <c r="AD366" s="24">
        <v>7.8</v>
      </c>
      <c r="AE366" s="24">
        <v>1.1568</v>
      </c>
      <c r="AF366" s="24">
        <v>1.678082</v>
      </c>
      <c r="AG366" s="24">
        <v>1.230769</v>
      </c>
      <c r="AH366" s="24">
        <v>1.12</v>
      </c>
      <c r="AI366" s="24">
        <v>1.206278</v>
      </c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</row>
    <row r="367">
      <c r="A367" s="51" t="s">
        <v>37</v>
      </c>
      <c r="B367" s="51" t="s">
        <v>111</v>
      </c>
      <c r="C367" s="24">
        <v>2017.0</v>
      </c>
      <c r="D367" s="24">
        <v>0.04821</v>
      </c>
      <c r="E367" s="52">
        <v>26.4</v>
      </c>
      <c r="F367" s="53">
        <f t="shared" si="1"/>
        <v>1.431837</v>
      </c>
      <c r="G367" s="52">
        <v>8.7</v>
      </c>
      <c r="H367" s="54">
        <f t="shared" si="2"/>
        <v>0.4992292782</v>
      </c>
      <c r="I367" s="52">
        <v>8.6</v>
      </c>
      <c r="J367" s="54">
        <f t="shared" si="3"/>
        <v>0.7005411009</v>
      </c>
      <c r="K367" s="55">
        <v>1.864864865</v>
      </c>
      <c r="L367" s="54">
        <f t="shared" si="4"/>
        <v>0.112089497</v>
      </c>
      <c r="M367" s="55">
        <v>0.891891892</v>
      </c>
      <c r="N367" s="56">
        <f t="shared" si="5"/>
        <v>0.05123177284</v>
      </c>
      <c r="O367" s="57">
        <v>0.619</v>
      </c>
      <c r="P367" s="24">
        <v>41498.0</v>
      </c>
      <c r="Q367" s="24">
        <v>11507.0</v>
      </c>
      <c r="R367" s="24">
        <v>11396.0</v>
      </c>
      <c r="S367" s="24">
        <v>1134.0</v>
      </c>
      <c r="T367" s="24">
        <v>2311.0</v>
      </c>
      <c r="U367" s="24">
        <v>27.0345</v>
      </c>
      <c r="V367" s="24">
        <v>7.4964</v>
      </c>
      <c r="W367" s="24">
        <v>7.4241</v>
      </c>
      <c r="X367" s="24">
        <v>0.7388</v>
      </c>
      <c r="Y367" s="24">
        <v>1.5055</v>
      </c>
      <c r="Z367" s="24">
        <v>105.6</v>
      </c>
      <c r="AA367" s="24">
        <v>22.6</v>
      </c>
      <c r="AB367" s="24">
        <v>4.7</v>
      </c>
      <c r="AC367" s="24">
        <v>43.5</v>
      </c>
      <c r="AD367" s="24">
        <v>7.7</v>
      </c>
      <c r="AE367" s="24">
        <v>1.125</v>
      </c>
      <c r="AF367" s="24">
        <v>1.689655</v>
      </c>
      <c r="AG367" s="24">
        <v>1.246753</v>
      </c>
      <c r="AH367" s="24">
        <v>1.191489</v>
      </c>
      <c r="AI367" s="24">
        <v>1.190265</v>
      </c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</row>
    <row r="368">
      <c r="A368" s="51" t="s">
        <v>37</v>
      </c>
      <c r="B368" s="51" t="s">
        <v>111</v>
      </c>
      <c r="C368" s="24">
        <v>2018.0</v>
      </c>
      <c r="D368" s="24">
        <v>0.05342</v>
      </c>
      <c r="E368" s="52">
        <v>27.5</v>
      </c>
      <c r="F368" s="53">
        <f t="shared" si="1"/>
        <v>1.64181028</v>
      </c>
      <c r="G368" s="52">
        <v>9.1</v>
      </c>
      <c r="H368" s="54">
        <f t="shared" si="2"/>
        <v>0.5636501949</v>
      </c>
      <c r="I368" s="52">
        <v>8.6</v>
      </c>
      <c r="J368" s="54">
        <f t="shared" si="3"/>
        <v>0.7762477829</v>
      </c>
      <c r="K368" s="55">
        <v>2.12195122</v>
      </c>
      <c r="L368" s="54">
        <f t="shared" si="4"/>
        <v>0.1413252302</v>
      </c>
      <c r="M368" s="55">
        <v>1.298780488</v>
      </c>
      <c r="N368" s="56">
        <f t="shared" si="5"/>
        <v>0.08094435241</v>
      </c>
      <c r="O368" s="57">
        <v>0.621</v>
      </c>
      <c r="P368" s="24">
        <v>41498.0</v>
      </c>
      <c r="Q368" s="24">
        <v>11507.0</v>
      </c>
      <c r="R368" s="24">
        <v>11396.0</v>
      </c>
      <c r="S368" s="24">
        <v>1134.0</v>
      </c>
      <c r="T368" s="24">
        <v>2311.0</v>
      </c>
      <c r="U368" s="24">
        <v>27.0345</v>
      </c>
      <c r="V368" s="24">
        <v>7.4964</v>
      </c>
      <c r="W368" s="24">
        <v>7.4241</v>
      </c>
      <c r="X368" s="24">
        <v>0.7388</v>
      </c>
      <c r="Y368" s="24">
        <v>1.5055</v>
      </c>
      <c r="Z368" s="24">
        <v>106.3</v>
      </c>
      <c r="AA368" s="24">
        <v>23.2</v>
      </c>
      <c r="AB368" s="24">
        <v>4.8</v>
      </c>
      <c r="AC368" s="24">
        <v>43.5</v>
      </c>
      <c r="AD368" s="24">
        <v>7.7</v>
      </c>
      <c r="AE368" s="24">
        <v>1.1176</v>
      </c>
      <c r="AF368" s="24">
        <v>1.689655</v>
      </c>
      <c r="AG368" s="24">
        <v>1.246753</v>
      </c>
      <c r="AH368" s="24">
        <v>1.166667</v>
      </c>
      <c r="AI368" s="24">
        <v>1.159483</v>
      </c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</row>
    <row r="369">
      <c r="A369" s="51" t="s">
        <v>37</v>
      </c>
      <c r="B369" s="51" t="s">
        <v>111</v>
      </c>
      <c r="C369" s="24">
        <v>2019.0</v>
      </c>
      <c r="D369" s="24">
        <v>0.03583</v>
      </c>
      <c r="E369" s="52">
        <v>27.4</v>
      </c>
      <c r="F369" s="53">
        <f t="shared" si="1"/>
        <v>1.048794979</v>
      </c>
      <c r="G369" s="52">
        <v>8.3</v>
      </c>
      <c r="H369" s="54">
        <f t="shared" si="2"/>
        <v>0.3251936819</v>
      </c>
      <c r="I369" s="52">
        <v>8.5</v>
      </c>
      <c r="J369" s="54">
        <f t="shared" si="3"/>
        <v>0.4952387128</v>
      </c>
      <c r="K369" s="55">
        <v>1.963636364</v>
      </c>
      <c r="L369" s="54">
        <f t="shared" si="4"/>
        <v>0.08887212226</v>
      </c>
      <c r="M369" s="55">
        <v>0.9</v>
      </c>
      <c r="N369" s="56">
        <f t="shared" si="5"/>
        <v>0.03611664</v>
      </c>
      <c r="O369" s="57">
        <v>0.588</v>
      </c>
      <c r="P369" s="24">
        <v>41498.0</v>
      </c>
      <c r="Q369" s="24">
        <v>11507.0</v>
      </c>
      <c r="R369" s="24">
        <v>11396.0</v>
      </c>
      <c r="S369" s="24">
        <v>1134.0</v>
      </c>
      <c r="T369" s="24">
        <v>2311.0</v>
      </c>
      <c r="U369" s="24">
        <v>27.0345</v>
      </c>
      <c r="V369" s="24">
        <v>7.4964</v>
      </c>
      <c r="W369" s="24">
        <v>7.4241</v>
      </c>
      <c r="X369" s="24">
        <v>0.7388</v>
      </c>
      <c r="Y369" s="24">
        <v>1.5055</v>
      </c>
      <c r="Z369" s="24">
        <v>111.2</v>
      </c>
      <c r="AA369" s="24">
        <v>24.6</v>
      </c>
      <c r="AB369" s="24">
        <v>5.0</v>
      </c>
      <c r="AC369" s="24">
        <v>45.2</v>
      </c>
      <c r="AD369" s="24">
        <v>7.6</v>
      </c>
      <c r="AE369" s="24">
        <v>1.0683</v>
      </c>
      <c r="AF369" s="24">
        <v>1.626106</v>
      </c>
      <c r="AG369" s="24">
        <v>1.263158</v>
      </c>
      <c r="AH369" s="24">
        <v>1.12</v>
      </c>
      <c r="AI369" s="24">
        <v>1.093496</v>
      </c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</row>
    <row r="370">
      <c r="A370" s="51" t="s">
        <v>37</v>
      </c>
      <c r="B370" s="51" t="s">
        <v>111</v>
      </c>
      <c r="C370" s="24">
        <v>2020.0</v>
      </c>
      <c r="D370" s="24">
        <v>0.04365</v>
      </c>
      <c r="E370" s="52">
        <v>25.3</v>
      </c>
      <c r="F370" s="53">
        <f t="shared" si="1"/>
        <v>1.173476997</v>
      </c>
      <c r="G370" s="52">
        <v>10.2</v>
      </c>
      <c r="H370" s="54">
        <f t="shared" si="2"/>
        <v>0.4908478206</v>
      </c>
      <c r="I370" s="52">
        <v>7.8</v>
      </c>
      <c r="J370" s="54">
        <f t="shared" si="3"/>
        <v>0.5585835938</v>
      </c>
      <c r="K370" s="55">
        <v>1.746268657</v>
      </c>
      <c r="L370" s="54">
        <f t="shared" si="4"/>
        <v>0.09628374724</v>
      </c>
      <c r="M370" s="55">
        <v>0.805970149</v>
      </c>
      <c r="N370" s="56">
        <f t="shared" si="5"/>
        <v>0.04020639155</v>
      </c>
      <c r="O370" s="57">
        <v>0.577</v>
      </c>
      <c r="P370" s="24">
        <v>41498.0</v>
      </c>
      <c r="Q370" s="24">
        <v>11507.0</v>
      </c>
      <c r="R370" s="24">
        <v>11396.0</v>
      </c>
      <c r="S370" s="24">
        <v>1134.0</v>
      </c>
      <c r="T370" s="24">
        <v>2311.0</v>
      </c>
      <c r="U370" s="24">
        <v>27.0345</v>
      </c>
      <c r="V370" s="24">
        <v>7.4964</v>
      </c>
      <c r="W370" s="24">
        <v>7.4241</v>
      </c>
      <c r="X370" s="24">
        <v>0.7388</v>
      </c>
      <c r="Y370" s="24">
        <v>1.5055</v>
      </c>
      <c r="Z370" s="24">
        <v>111.8</v>
      </c>
      <c r="AA370" s="24">
        <v>24.4</v>
      </c>
      <c r="AB370" s="24">
        <v>4.9</v>
      </c>
      <c r="AC370" s="24">
        <v>44.8</v>
      </c>
      <c r="AD370" s="24">
        <v>7.6</v>
      </c>
      <c r="AE370" s="24">
        <v>1.0626</v>
      </c>
      <c r="AF370" s="24">
        <v>1.640625</v>
      </c>
      <c r="AG370" s="24">
        <v>1.263158</v>
      </c>
      <c r="AH370" s="24">
        <v>1.142857</v>
      </c>
      <c r="AI370" s="24">
        <v>1.102459</v>
      </c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</row>
    <row r="371">
      <c r="A371" s="51" t="s">
        <v>37</v>
      </c>
      <c r="B371" s="51" t="s">
        <v>111</v>
      </c>
      <c r="C371" s="24">
        <v>2021.0</v>
      </c>
      <c r="D371" s="24">
        <v>0.02932</v>
      </c>
      <c r="E371" s="52">
        <v>25.0</v>
      </c>
      <c r="F371" s="53">
        <f t="shared" si="1"/>
        <v>0.7768334</v>
      </c>
      <c r="G371" s="52">
        <v>7.8</v>
      </c>
      <c r="H371" s="54">
        <f t="shared" si="2"/>
        <v>0.2480612912</v>
      </c>
      <c r="I371" s="52">
        <v>7.7</v>
      </c>
      <c r="J371" s="54">
        <f t="shared" si="3"/>
        <v>0.3745745345</v>
      </c>
      <c r="K371" s="55">
        <v>1.6</v>
      </c>
      <c r="L371" s="54">
        <f t="shared" si="4"/>
        <v>0.0592572681</v>
      </c>
      <c r="M371" s="55">
        <v>0.833333333</v>
      </c>
      <c r="N371" s="56">
        <f t="shared" si="5"/>
        <v>0.02792380602</v>
      </c>
      <c r="O371" s="57">
        <v>0.602</v>
      </c>
      <c r="P371" s="24">
        <v>41498.0</v>
      </c>
      <c r="Q371" s="24">
        <v>11507.0</v>
      </c>
      <c r="R371" s="24">
        <v>11396.0</v>
      </c>
      <c r="S371" s="24">
        <v>1134.0</v>
      </c>
      <c r="T371" s="24">
        <v>2311.0</v>
      </c>
      <c r="U371" s="24">
        <v>27.0345</v>
      </c>
      <c r="V371" s="24">
        <v>7.4964</v>
      </c>
      <c r="W371" s="24">
        <v>7.4241</v>
      </c>
      <c r="X371" s="24">
        <v>0.7388</v>
      </c>
      <c r="Y371" s="24">
        <v>1.5055</v>
      </c>
      <c r="Z371" s="24">
        <v>112.1</v>
      </c>
      <c r="AA371" s="24">
        <v>24.8</v>
      </c>
      <c r="AB371" s="24">
        <v>4.9</v>
      </c>
      <c r="AC371" s="24">
        <v>44.3</v>
      </c>
      <c r="AD371" s="24">
        <v>7.6</v>
      </c>
      <c r="AE371" s="24">
        <v>1.0598</v>
      </c>
      <c r="AF371" s="24">
        <v>1.659142</v>
      </c>
      <c r="AG371" s="24">
        <v>1.263158</v>
      </c>
      <c r="AH371" s="24">
        <v>1.142857</v>
      </c>
      <c r="AI371" s="24">
        <v>1.084677</v>
      </c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</row>
    <row r="372">
      <c r="A372" s="51" t="s">
        <v>37</v>
      </c>
      <c r="B372" s="51" t="s">
        <v>111</v>
      </c>
      <c r="C372" s="24">
        <v>2022.0</v>
      </c>
      <c r="D372" s="24">
        <v>0.03648</v>
      </c>
      <c r="E372" s="52">
        <v>30.3</v>
      </c>
      <c r="F372" s="53">
        <f t="shared" si="1"/>
        <v>1.18724999</v>
      </c>
      <c r="G372" s="52">
        <v>6.2</v>
      </c>
      <c r="H372" s="54">
        <f t="shared" si="2"/>
        <v>0.2473225513</v>
      </c>
      <c r="I372" s="52">
        <v>8.2</v>
      </c>
      <c r="J372" s="54">
        <f t="shared" si="3"/>
        <v>0.4940784442</v>
      </c>
      <c r="K372" s="55">
        <v>1.955357143</v>
      </c>
      <c r="L372" s="54">
        <f t="shared" si="4"/>
        <v>0.09010286466</v>
      </c>
      <c r="M372" s="55">
        <v>1.580357143</v>
      </c>
      <c r="N372" s="56">
        <f t="shared" si="5"/>
        <v>0.06869104298</v>
      </c>
      <c r="O372" s="57">
        <v>0.619</v>
      </c>
      <c r="P372" s="24">
        <v>41498.0</v>
      </c>
      <c r="Q372" s="24">
        <v>11507.0</v>
      </c>
      <c r="R372" s="24">
        <v>11396.0</v>
      </c>
      <c r="S372" s="24">
        <v>1134.0</v>
      </c>
      <c r="T372" s="24">
        <v>2311.0</v>
      </c>
      <c r="U372" s="24">
        <v>27.0345</v>
      </c>
      <c r="V372" s="24">
        <v>7.4964</v>
      </c>
      <c r="W372" s="24">
        <v>7.4241</v>
      </c>
      <c r="X372" s="24">
        <v>0.7388</v>
      </c>
      <c r="Y372" s="24">
        <v>1.5055</v>
      </c>
      <c r="Z372" s="24">
        <v>110.6</v>
      </c>
      <c r="AA372" s="24">
        <v>24.6</v>
      </c>
      <c r="AB372" s="24">
        <v>4.7</v>
      </c>
      <c r="AC372" s="24">
        <v>44.5</v>
      </c>
      <c r="AD372" s="24">
        <v>7.6</v>
      </c>
      <c r="AE372" s="24">
        <v>1.0741</v>
      </c>
      <c r="AF372" s="24">
        <v>1.651685</v>
      </c>
      <c r="AG372" s="24">
        <v>1.263158</v>
      </c>
      <c r="AH372" s="24">
        <v>1.191489</v>
      </c>
      <c r="AI372" s="24">
        <v>1.093496</v>
      </c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</row>
    <row r="373">
      <c r="A373" s="51" t="s">
        <v>37</v>
      </c>
      <c r="B373" s="51" t="s">
        <v>111</v>
      </c>
      <c r="C373" s="24">
        <v>2023.0</v>
      </c>
      <c r="D373" s="24">
        <v>0.03583</v>
      </c>
      <c r="E373" s="52">
        <v>28.9</v>
      </c>
      <c r="F373" s="53">
        <f t="shared" si="1"/>
        <v>1.072453886</v>
      </c>
      <c r="G373" s="52">
        <v>6.8</v>
      </c>
      <c r="H373" s="54">
        <f t="shared" si="2"/>
        <v>0.2590522902</v>
      </c>
      <c r="I373" s="52">
        <v>8.3</v>
      </c>
      <c r="J373" s="54">
        <f t="shared" si="3"/>
        <v>0.5036425462</v>
      </c>
      <c r="K373" s="55">
        <v>1.363636364</v>
      </c>
      <c r="L373" s="54">
        <f t="shared" si="4"/>
        <v>0.06425302698</v>
      </c>
      <c r="M373" s="55">
        <v>0.872727273</v>
      </c>
      <c r="N373" s="56">
        <f t="shared" si="5"/>
        <v>0.03725764441</v>
      </c>
      <c r="O373" s="57">
        <v>0.583</v>
      </c>
      <c r="P373" s="24">
        <v>41498.0</v>
      </c>
      <c r="Q373" s="24">
        <v>11507.0</v>
      </c>
      <c r="R373" s="24">
        <v>11396.0</v>
      </c>
      <c r="S373" s="24">
        <v>1134.0</v>
      </c>
      <c r="T373" s="24">
        <v>2311.0</v>
      </c>
      <c r="U373" s="24">
        <v>27.0345</v>
      </c>
      <c r="V373" s="24">
        <v>7.4964</v>
      </c>
      <c r="W373" s="24">
        <v>7.4241</v>
      </c>
      <c r="X373" s="24">
        <v>0.7388</v>
      </c>
      <c r="Y373" s="24">
        <v>1.5055</v>
      </c>
      <c r="Z373" s="24">
        <v>114.7</v>
      </c>
      <c r="AA373" s="24">
        <v>25.3</v>
      </c>
      <c r="AB373" s="24">
        <v>4.7</v>
      </c>
      <c r="AC373" s="24">
        <v>43.4</v>
      </c>
      <c r="AD373" s="24">
        <v>7.3</v>
      </c>
      <c r="AE373" s="24">
        <v>1.0357</v>
      </c>
      <c r="AF373" s="24">
        <v>1.693548</v>
      </c>
      <c r="AG373" s="24">
        <v>1.315068</v>
      </c>
      <c r="AH373" s="24">
        <v>1.191489</v>
      </c>
      <c r="AI373" s="24">
        <v>1.063241</v>
      </c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</row>
    <row r="374">
      <c r="A374" s="51" t="s">
        <v>37</v>
      </c>
      <c r="B374" s="51" t="s">
        <v>111</v>
      </c>
      <c r="C374" s="24">
        <v>2024.0</v>
      </c>
      <c r="D374" s="24">
        <v>0.04625</v>
      </c>
      <c r="E374" s="52">
        <v>25.7</v>
      </c>
      <c r="F374" s="53">
        <f t="shared" si="1"/>
        <v>1.236526588</v>
      </c>
      <c r="G374" s="52">
        <v>8.3</v>
      </c>
      <c r="H374" s="54">
        <f t="shared" si="2"/>
        <v>0.3867506076</v>
      </c>
      <c r="I374" s="52">
        <v>7.3</v>
      </c>
      <c r="J374" s="54">
        <f t="shared" si="3"/>
        <v>0.5704697694</v>
      </c>
      <c r="K374" s="55">
        <v>1.88028169</v>
      </c>
      <c r="L374" s="54">
        <f t="shared" si="4"/>
        <v>0.111312676</v>
      </c>
      <c r="M374" s="55">
        <v>0.802816901</v>
      </c>
      <c r="N374" s="56">
        <f t="shared" si="5"/>
        <v>0.04077049736</v>
      </c>
      <c r="O374" s="57">
        <v>0.63</v>
      </c>
      <c r="P374" s="24">
        <v>41498.0</v>
      </c>
      <c r="Q374" s="24">
        <v>11507.0</v>
      </c>
      <c r="R374" s="24">
        <v>11396.0</v>
      </c>
      <c r="S374" s="24">
        <v>1134.0</v>
      </c>
      <c r="T374" s="24">
        <v>2311.0</v>
      </c>
      <c r="U374" s="24">
        <v>27.0345</v>
      </c>
      <c r="V374" s="24">
        <v>7.4964</v>
      </c>
      <c r="W374" s="24">
        <v>7.4241</v>
      </c>
      <c r="X374" s="24">
        <v>0.7388</v>
      </c>
      <c r="Y374" s="24">
        <v>1.5055</v>
      </c>
      <c r="Z374" s="24">
        <v>114.2</v>
      </c>
      <c r="AA374" s="24">
        <v>26.7</v>
      </c>
      <c r="AB374" s="24">
        <v>5.1</v>
      </c>
      <c r="AC374" s="24">
        <v>43.5</v>
      </c>
      <c r="AD374" s="24">
        <v>7.5</v>
      </c>
      <c r="AE374" s="24">
        <v>1.0403</v>
      </c>
      <c r="AF374" s="24">
        <v>1.689655</v>
      </c>
      <c r="AG374" s="24">
        <v>1.28</v>
      </c>
      <c r="AH374" s="24">
        <v>1.098039</v>
      </c>
      <c r="AI374" s="24">
        <v>1.007491</v>
      </c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</row>
    <row r="375">
      <c r="A375" s="51" t="s">
        <v>37</v>
      </c>
      <c r="B375" s="51" t="s">
        <v>111</v>
      </c>
      <c r="C375" s="24">
        <v>2025.0</v>
      </c>
      <c r="D375" s="24">
        <v>0.02801</v>
      </c>
      <c r="E375" s="52">
        <v>23.8</v>
      </c>
      <c r="F375" s="53">
        <f t="shared" si="1"/>
        <v>0.6959034082</v>
      </c>
      <c r="G375" s="52">
        <v>9.0</v>
      </c>
      <c r="H375" s="54">
        <f t="shared" si="2"/>
        <v>0.2558950465</v>
      </c>
      <c r="I375" s="52">
        <v>7.5</v>
      </c>
      <c r="J375" s="54">
        <f t="shared" si="3"/>
        <v>0.35012507</v>
      </c>
      <c r="K375" s="55">
        <v>1.255813953</v>
      </c>
      <c r="L375" s="54">
        <f t="shared" si="4"/>
        <v>0.04118090648</v>
      </c>
      <c r="M375" s="55">
        <v>0.802325581</v>
      </c>
      <c r="N375" s="56">
        <f t="shared" si="5"/>
        <v>0.02568358482</v>
      </c>
      <c r="O375" s="57">
        <v>0.599</v>
      </c>
      <c r="P375" s="24">
        <v>41498.0</v>
      </c>
      <c r="Q375" s="24">
        <v>11507.0</v>
      </c>
      <c r="R375" s="24">
        <v>11396.0</v>
      </c>
      <c r="S375" s="24">
        <v>1134.0</v>
      </c>
      <c r="T375" s="24">
        <v>2311.0</v>
      </c>
      <c r="U375" s="24">
        <v>27.0345</v>
      </c>
      <c r="V375" s="24">
        <v>7.4964</v>
      </c>
      <c r="W375" s="24">
        <v>7.4241</v>
      </c>
      <c r="X375" s="24">
        <v>0.7388</v>
      </c>
      <c r="Y375" s="24">
        <v>1.5055</v>
      </c>
      <c r="Z375" s="24">
        <v>113.8</v>
      </c>
      <c r="AA375" s="24">
        <v>26.5</v>
      </c>
      <c r="AB375" s="24">
        <v>4.9</v>
      </c>
      <c r="AC375" s="24">
        <v>44.1</v>
      </c>
      <c r="AD375" s="24">
        <v>8.2</v>
      </c>
      <c r="AE375" s="24">
        <v>1.0439</v>
      </c>
      <c r="AF375" s="24">
        <v>1.666667</v>
      </c>
      <c r="AG375" s="24">
        <v>1.170732</v>
      </c>
      <c r="AH375" s="24">
        <v>1.142857</v>
      </c>
      <c r="AI375" s="24">
        <v>1.015094</v>
      </c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</row>
    <row r="376">
      <c r="A376" s="51" t="s">
        <v>63</v>
      </c>
      <c r="B376" s="51" t="s">
        <v>104</v>
      </c>
      <c r="C376" s="24">
        <v>1980.0</v>
      </c>
      <c r="D376" s="24">
        <v>0.08499</v>
      </c>
      <c r="E376" s="52">
        <v>18.0</v>
      </c>
      <c r="F376" s="53">
        <f t="shared" si="1"/>
        <v>1.662761358</v>
      </c>
      <c r="G376" s="52">
        <v>7.3</v>
      </c>
      <c r="H376" s="54">
        <f t="shared" si="2"/>
        <v>0.6468795256</v>
      </c>
      <c r="I376" s="52">
        <v>7.7</v>
      </c>
      <c r="J376" s="54">
        <f t="shared" si="3"/>
        <v>1.071271473</v>
      </c>
      <c r="K376" s="55">
        <v>3.642857143</v>
      </c>
      <c r="L376" s="54">
        <f t="shared" si="4"/>
        <v>0.3161939246</v>
      </c>
      <c r="M376" s="55">
        <v>0.798701299</v>
      </c>
      <c r="N376" s="56">
        <f t="shared" si="5"/>
        <v>0.07172399481</v>
      </c>
      <c r="O376" s="57">
        <v>0.602</v>
      </c>
      <c r="P376" s="24">
        <v>17707.0</v>
      </c>
      <c r="Q376" s="24">
        <v>6559.0</v>
      </c>
      <c r="R376" s="24">
        <v>10141.0</v>
      </c>
      <c r="S376" s="24">
        <v>374.0</v>
      </c>
      <c r="T376" s="24">
        <v>1724.0</v>
      </c>
      <c r="U376" s="24">
        <v>19.5442</v>
      </c>
      <c r="V376" s="24">
        <v>7.2395</v>
      </c>
      <c r="W376" s="24">
        <v>11.1932</v>
      </c>
      <c r="X376" s="24">
        <v>0.4128</v>
      </c>
      <c r="Y376" s="24">
        <v>1.9029</v>
      </c>
      <c r="Z376" s="24">
        <v>109.3</v>
      </c>
      <c r="AA376" s="24">
        <v>25.8</v>
      </c>
      <c r="AB376" s="24">
        <v>5.3</v>
      </c>
      <c r="AC376" s="24">
        <v>44.9</v>
      </c>
      <c r="AD376" s="24">
        <v>9.4</v>
      </c>
      <c r="AE376" s="24">
        <v>1.0869</v>
      </c>
      <c r="AF376" s="24">
        <v>1.636971</v>
      </c>
      <c r="AG376" s="24">
        <v>1.021277</v>
      </c>
      <c r="AH376" s="24">
        <v>1.056604</v>
      </c>
      <c r="AI376" s="24">
        <v>1.042636</v>
      </c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</row>
    <row r="377">
      <c r="A377" s="51" t="s">
        <v>63</v>
      </c>
      <c r="B377" s="51" t="s">
        <v>104</v>
      </c>
      <c r="C377" s="24">
        <v>1981.0</v>
      </c>
      <c r="D377" s="24">
        <v>0.04084</v>
      </c>
      <c r="E377" s="52">
        <v>21.6</v>
      </c>
      <c r="F377" s="53">
        <f t="shared" si="1"/>
        <v>0.969476256</v>
      </c>
      <c r="G377" s="52">
        <v>8.6</v>
      </c>
      <c r="H377" s="54">
        <f t="shared" si="2"/>
        <v>0.3705069</v>
      </c>
      <c r="I377" s="52">
        <v>8.6</v>
      </c>
      <c r="J377" s="54">
        <f t="shared" si="3"/>
        <v>0.5934473877</v>
      </c>
      <c r="K377" s="55">
        <v>5.148648649</v>
      </c>
      <c r="L377" s="54">
        <f t="shared" si="4"/>
        <v>0.224288935</v>
      </c>
      <c r="M377" s="55">
        <v>1.094594595</v>
      </c>
      <c r="N377" s="56">
        <f t="shared" si="5"/>
        <v>0.04723362564</v>
      </c>
      <c r="O377" s="57">
        <v>0.582</v>
      </c>
      <c r="P377" s="24">
        <v>17707.0</v>
      </c>
      <c r="Q377" s="24">
        <v>6559.0</v>
      </c>
      <c r="R377" s="24">
        <v>10141.0</v>
      </c>
      <c r="S377" s="24">
        <v>374.0</v>
      </c>
      <c r="T377" s="24">
        <v>1724.0</v>
      </c>
      <c r="U377" s="24">
        <v>19.5442</v>
      </c>
      <c r="V377" s="24">
        <v>7.2395</v>
      </c>
      <c r="W377" s="24">
        <v>11.1932</v>
      </c>
      <c r="X377" s="24">
        <v>0.4128</v>
      </c>
      <c r="Y377" s="24">
        <v>1.9029</v>
      </c>
      <c r="Z377" s="24">
        <v>108.1</v>
      </c>
      <c r="AA377" s="24">
        <v>25.5</v>
      </c>
      <c r="AB377" s="24">
        <v>5.3</v>
      </c>
      <c r="AC377" s="24">
        <v>43.5</v>
      </c>
      <c r="AD377" s="24">
        <v>9.0</v>
      </c>
      <c r="AE377" s="24">
        <v>1.099</v>
      </c>
      <c r="AF377" s="24">
        <v>1.689655</v>
      </c>
      <c r="AG377" s="24">
        <v>1.066667</v>
      </c>
      <c r="AH377" s="24">
        <v>1.056604</v>
      </c>
      <c r="AI377" s="24">
        <v>1.054902</v>
      </c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</row>
    <row r="378">
      <c r="A378" s="51" t="s">
        <v>63</v>
      </c>
      <c r="B378" s="51" t="s">
        <v>104</v>
      </c>
      <c r="C378" s="24">
        <v>1982.0</v>
      </c>
      <c r="D378" s="24">
        <v>0.08609</v>
      </c>
      <c r="E378" s="52">
        <v>18.6</v>
      </c>
      <c r="F378" s="53">
        <f t="shared" si="1"/>
        <v>1.751633629</v>
      </c>
      <c r="G378" s="52">
        <v>9.5</v>
      </c>
      <c r="H378" s="54">
        <f t="shared" si="2"/>
        <v>0.8730274983</v>
      </c>
      <c r="I378" s="52">
        <v>9.6</v>
      </c>
      <c r="J378" s="54">
        <f t="shared" si="3"/>
        <v>1.39643903</v>
      </c>
      <c r="K378" s="55">
        <v>4.0</v>
      </c>
      <c r="L378" s="54">
        <f t="shared" si="4"/>
        <v>0.3889243163</v>
      </c>
      <c r="M378" s="55">
        <v>0.653846154</v>
      </c>
      <c r="N378" s="56">
        <f t="shared" si="5"/>
        <v>0.05837441388</v>
      </c>
      <c r="O378" s="57">
        <v>0.59</v>
      </c>
      <c r="P378" s="24">
        <v>17707.0</v>
      </c>
      <c r="Q378" s="24">
        <v>6559.0</v>
      </c>
      <c r="R378" s="24">
        <v>10141.0</v>
      </c>
      <c r="S378" s="24">
        <v>374.0</v>
      </c>
      <c r="T378" s="24">
        <v>1724.0</v>
      </c>
      <c r="U378" s="24">
        <v>19.5442</v>
      </c>
      <c r="V378" s="24">
        <v>7.2395</v>
      </c>
      <c r="W378" s="24">
        <v>11.1932</v>
      </c>
      <c r="X378" s="24">
        <v>0.4128</v>
      </c>
      <c r="Y378" s="24">
        <v>1.9029</v>
      </c>
      <c r="Z378" s="24">
        <v>108.6</v>
      </c>
      <c r="AA378" s="24">
        <v>25.2</v>
      </c>
      <c r="AB378" s="24">
        <v>5.4</v>
      </c>
      <c r="AC378" s="24">
        <v>43.5</v>
      </c>
      <c r="AD378" s="24">
        <v>8.5</v>
      </c>
      <c r="AE378" s="24">
        <v>1.0939</v>
      </c>
      <c r="AF378" s="24">
        <v>1.689655</v>
      </c>
      <c r="AG378" s="24">
        <v>1.129412</v>
      </c>
      <c r="AH378" s="24">
        <v>1.037037</v>
      </c>
      <c r="AI378" s="24">
        <v>1.06746</v>
      </c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</row>
    <row r="379">
      <c r="A379" s="51" t="s">
        <v>63</v>
      </c>
      <c r="B379" s="51" t="s">
        <v>104</v>
      </c>
      <c r="C379" s="24">
        <v>1983.0</v>
      </c>
      <c r="D379" s="24">
        <v>0.0872</v>
      </c>
      <c r="E379" s="52">
        <v>16.8</v>
      </c>
      <c r="F379" s="53">
        <f t="shared" si="1"/>
        <v>1.603984704</v>
      </c>
      <c r="G379" s="52">
        <v>10.5</v>
      </c>
      <c r="H379" s="54">
        <f t="shared" si="2"/>
        <v>0.950951316</v>
      </c>
      <c r="I379" s="52">
        <v>8.6</v>
      </c>
      <c r="J379" s="54">
        <f t="shared" si="3"/>
        <v>1.238631615</v>
      </c>
      <c r="K379" s="55">
        <v>3.341772152</v>
      </c>
      <c r="L379" s="54">
        <f t="shared" si="4"/>
        <v>0.3143219236</v>
      </c>
      <c r="M379" s="55">
        <v>0.892405063</v>
      </c>
      <c r="N379" s="56">
        <f t="shared" si="5"/>
        <v>0.07781772149</v>
      </c>
      <c r="O379" s="57">
        <v>0.603</v>
      </c>
      <c r="P379" s="24">
        <v>17707.0</v>
      </c>
      <c r="Q379" s="24">
        <v>6559.0</v>
      </c>
      <c r="R379" s="24">
        <v>10141.0</v>
      </c>
      <c r="S379" s="24">
        <v>374.0</v>
      </c>
      <c r="T379" s="24">
        <v>1724.0</v>
      </c>
      <c r="U379" s="24">
        <v>19.5442</v>
      </c>
      <c r="V379" s="24">
        <v>7.2395</v>
      </c>
      <c r="W379" s="24">
        <v>11.1932</v>
      </c>
      <c r="X379" s="24">
        <v>0.4128</v>
      </c>
      <c r="Y379" s="24">
        <v>1.9029</v>
      </c>
      <c r="Z379" s="24">
        <v>108.5</v>
      </c>
      <c r="AA379" s="24">
        <v>25.9</v>
      </c>
      <c r="AB379" s="24">
        <v>5.6</v>
      </c>
      <c r="AC379" s="24">
        <v>44.5</v>
      </c>
      <c r="AD379" s="24">
        <v>8.9</v>
      </c>
      <c r="AE379" s="24">
        <v>1.0949</v>
      </c>
      <c r="AF379" s="24">
        <v>1.651685</v>
      </c>
      <c r="AG379" s="24">
        <v>1.078652</v>
      </c>
      <c r="AH379" s="24">
        <v>1.0</v>
      </c>
      <c r="AI379" s="24">
        <v>1.03861</v>
      </c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</row>
    <row r="380">
      <c r="A380" s="51" t="s">
        <v>63</v>
      </c>
      <c r="B380" s="51" t="s">
        <v>104</v>
      </c>
      <c r="C380" s="24">
        <v>1984.0</v>
      </c>
      <c r="D380" s="24">
        <v>0.07395</v>
      </c>
      <c r="E380" s="52">
        <v>17.6</v>
      </c>
      <c r="F380" s="53">
        <f t="shared" si="1"/>
        <v>1.40434008</v>
      </c>
      <c r="G380" s="52">
        <v>13.1</v>
      </c>
      <c r="H380" s="54">
        <f t="shared" si="2"/>
        <v>0.9946279289</v>
      </c>
      <c r="I380" s="52">
        <v>7.3</v>
      </c>
      <c r="J380" s="54">
        <f t="shared" si="3"/>
        <v>0.9227410452</v>
      </c>
      <c r="K380" s="55">
        <v>3.358208955</v>
      </c>
      <c r="L380" s="54">
        <f t="shared" si="4"/>
        <v>0.2804776704</v>
      </c>
      <c r="M380" s="55">
        <v>1.097014925</v>
      </c>
      <c r="N380" s="56">
        <f t="shared" si="5"/>
        <v>0.08571621096</v>
      </c>
      <c r="O380" s="57">
        <v>0.628</v>
      </c>
      <c r="P380" s="24">
        <v>17707.0</v>
      </c>
      <c r="Q380" s="24">
        <v>6559.0</v>
      </c>
      <c r="R380" s="24">
        <v>10141.0</v>
      </c>
      <c r="S380" s="24">
        <v>374.0</v>
      </c>
      <c r="T380" s="24">
        <v>1724.0</v>
      </c>
      <c r="U380" s="24">
        <v>19.5442</v>
      </c>
      <c r="V380" s="24">
        <v>7.2395</v>
      </c>
      <c r="W380" s="24">
        <v>11.1932</v>
      </c>
      <c r="X380" s="24">
        <v>0.4128</v>
      </c>
      <c r="Y380" s="24">
        <v>1.9029</v>
      </c>
      <c r="Z380" s="24">
        <v>110.1</v>
      </c>
      <c r="AA380" s="24">
        <v>26.2</v>
      </c>
      <c r="AB380" s="24">
        <v>5.3</v>
      </c>
      <c r="AC380" s="24">
        <v>43.0</v>
      </c>
      <c r="AD380" s="24">
        <v>8.5</v>
      </c>
      <c r="AE380" s="24">
        <v>1.079</v>
      </c>
      <c r="AF380" s="24">
        <v>1.709302</v>
      </c>
      <c r="AG380" s="24">
        <v>1.129412</v>
      </c>
      <c r="AH380" s="24">
        <v>1.056604</v>
      </c>
      <c r="AI380" s="24">
        <v>1.026718</v>
      </c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</row>
    <row r="381">
      <c r="A381" s="51" t="s">
        <v>63</v>
      </c>
      <c r="B381" s="51" t="s">
        <v>104</v>
      </c>
      <c r="C381" s="24">
        <v>1985.0</v>
      </c>
      <c r="D381" s="24">
        <v>0.08499</v>
      </c>
      <c r="E381" s="52">
        <v>18.3</v>
      </c>
      <c r="F381" s="53">
        <f t="shared" si="1"/>
        <v>1.667610887</v>
      </c>
      <c r="G381" s="52">
        <v>12.6</v>
      </c>
      <c r="H381" s="54">
        <f t="shared" si="2"/>
        <v>1.095304919</v>
      </c>
      <c r="I381" s="52">
        <v>6.2</v>
      </c>
      <c r="J381" s="54">
        <f t="shared" si="3"/>
        <v>0.8903434264</v>
      </c>
      <c r="K381" s="55">
        <v>2.201298701</v>
      </c>
      <c r="L381" s="54">
        <f t="shared" si="4"/>
        <v>0.2112998576</v>
      </c>
      <c r="M381" s="55">
        <v>0.487012987</v>
      </c>
      <c r="N381" s="56">
        <f t="shared" si="5"/>
        <v>0.04373414316</v>
      </c>
      <c r="O381" s="57">
        <v>0.637</v>
      </c>
      <c r="P381" s="24">
        <v>17707.0</v>
      </c>
      <c r="Q381" s="24">
        <v>6559.0</v>
      </c>
      <c r="R381" s="24">
        <v>10141.0</v>
      </c>
      <c r="S381" s="24">
        <v>374.0</v>
      </c>
      <c r="T381" s="24">
        <v>1724.0</v>
      </c>
      <c r="U381" s="24">
        <v>19.5442</v>
      </c>
      <c r="V381" s="24">
        <v>7.2395</v>
      </c>
      <c r="W381" s="24">
        <v>11.1932</v>
      </c>
      <c r="X381" s="24">
        <v>0.4128</v>
      </c>
      <c r="Y381" s="24">
        <v>1.9029</v>
      </c>
      <c r="Z381" s="24">
        <v>110.8</v>
      </c>
      <c r="AA381" s="24">
        <v>26.3</v>
      </c>
      <c r="AB381" s="24">
        <v>5.3</v>
      </c>
      <c r="AC381" s="24">
        <v>43.5</v>
      </c>
      <c r="AD381" s="24">
        <v>8.5</v>
      </c>
      <c r="AE381" s="24">
        <v>1.0722</v>
      </c>
      <c r="AF381" s="24">
        <v>1.689655</v>
      </c>
      <c r="AG381" s="24">
        <v>1.129412</v>
      </c>
      <c r="AH381" s="24">
        <v>1.056604</v>
      </c>
      <c r="AI381" s="24">
        <v>1.022814</v>
      </c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</row>
    <row r="382">
      <c r="A382" s="51" t="s">
        <v>63</v>
      </c>
      <c r="B382" s="51" t="s">
        <v>104</v>
      </c>
      <c r="C382" s="24">
        <v>1986.0</v>
      </c>
      <c r="D382" s="24">
        <v>0.07947</v>
      </c>
      <c r="E382" s="52">
        <v>18.8</v>
      </c>
      <c r="F382" s="53">
        <f t="shared" si="1"/>
        <v>1.610570808</v>
      </c>
      <c r="G382" s="52">
        <v>12.6</v>
      </c>
      <c r="H382" s="54">
        <f t="shared" si="2"/>
        <v>1.035982761</v>
      </c>
      <c r="I382" s="52">
        <v>5.9</v>
      </c>
      <c r="J382" s="54">
        <f t="shared" si="3"/>
        <v>0.7904167259</v>
      </c>
      <c r="K382" s="55">
        <v>2.354166667</v>
      </c>
      <c r="L382" s="54">
        <f t="shared" si="4"/>
        <v>0.2040933921</v>
      </c>
      <c r="M382" s="55">
        <v>0.333333333</v>
      </c>
      <c r="N382" s="56">
        <f t="shared" si="5"/>
        <v>0.02798943993</v>
      </c>
      <c r="O382" s="57">
        <v>0.61</v>
      </c>
      <c r="P382" s="24">
        <v>17707.0</v>
      </c>
      <c r="Q382" s="24">
        <v>6559.0</v>
      </c>
      <c r="R382" s="24">
        <v>10141.0</v>
      </c>
      <c r="S382" s="24">
        <v>374.0</v>
      </c>
      <c r="T382" s="24">
        <v>1724.0</v>
      </c>
      <c r="U382" s="24">
        <v>19.5442</v>
      </c>
      <c r="V382" s="24">
        <v>7.2395</v>
      </c>
      <c r="W382" s="24">
        <v>11.1932</v>
      </c>
      <c r="X382" s="24">
        <v>0.4128</v>
      </c>
      <c r="Y382" s="24">
        <v>1.9029</v>
      </c>
      <c r="Z382" s="24">
        <v>110.2</v>
      </c>
      <c r="AA382" s="24">
        <v>26.0</v>
      </c>
      <c r="AB382" s="24">
        <v>5.3</v>
      </c>
      <c r="AC382" s="24">
        <v>43.6</v>
      </c>
      <c r="AD382" s="24">
        <v>8.8</v>
      </c>
      <c r="AE382" s="24">
        <v>1.078</v>
      </c>
      <c r="AF382" s="24">
        <v>1.68578</v>
      </c>
      <c r="AG382" s="24">
        <v>1.090909</v>
      </c>
      <c r="AH382" s="24">
        <v>1.056604</v>
      </c>
      <c r="AI382" s="24">
        <v>1.034615</v>
      </c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</row>
    <row r="383">
      <c r="A383" s="51" t="s">
        <v>63</v>
      </c>
      <c r="B383" s="51" t="s">
        <v>104</v>
      </c>
      <c r="C383" s="24">
        <v>1987.0</v>
      </c>
      <c r="D383" s="24">
        <v>0.0883</v>
      </c>
      <c r="E383" s="52">
        <v>23.9</v>
      </c>
      <c r="F383" s="53">
        <f t="shared" si="1"/>
        <v>2.28130997</v>
      </c>
      <c r="G383" s="52">
        <v>12.2</v>
      </c>
      <c r="H383" s="54">
        <f t="shared" si="2"/>
        <v>1.114549355</v>
      </c>
      <c r="I383" s="52">
        <v>6.3</v>
      </c>
      <c r="J383" s="54">
        <f t="shared" si="3"/>
        <v>0.929257412</v>
      </c>
      <c r="K383" s="55">
        <v>2.5875</v>
      </c>
      <c r="L383" s="54">
        <f t="shared" si="4"/>
        <v>0.2550432399</v>
      </c>
      <c r="M383" s="55">
        <v>0.675</v>
      </c>
      <c r="N383" s="56">
        <f t="shared" si="5"/>
        <v>0.06068619266</v>
      </c>
      <c r="O383" s="57">
        <v>0.602</v>
      </c>
      <c r="P383" s="24">
        <v>17707.0</v>
      </c>
      <c r="Q383" s="24">
        <v>6559.0</v>
      </c>
      <c r="R383" s="24">
        <v>10141.0</v>
      </c>
      <c r="S383" s="24">
        <v>374.0</v>
      </c>
      <c r="T383" s="24">
        <v>1724.0</v>
      </c>
      <c r="U383" s="24">
        <v>19.5442</v>
      </c>
      <c r="V383" s="24">
        <v>7.2395</v>
      </c>
      <c r="W383" s="24">
        <v>11.1932</v>
      </c>
      <c r="X383" s="24">
        <v>0.4128</v>
      </c>
      <c r="Y383" s="24">
        <v>1.9029</v>
      </c>
      <c r="Z383" s="24">
        <v>109.9</v>
      </c>
      <c r="AA383" s="24">
        <v>26.0</v>
      </c>
      <c r="AB383" s="24">
        <v>5.5</v>
      </c>
      <c r="AC383" s="24">
        <v>44.0</v>
      </c>
      <c r="AD383" s="24">
        <v>8.6</v>
      </c>
      <c r="AE383" s="24">
        <v>1.081</v>
      </c>
      <c r="AF383" s="24">
        <v>1.670455</v>
      </c>
      <c r="AG383" s="24">
        <v>1.116279</v>
      </c>
      <c r="AH383" s="24">
        <v>1.018182</v>
      </c>
      <c r="AI383" s="24">
        <v>1.034615</v>
      </c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</row>
    <row r="384">
      <c r="A384" s="51" t="s">
        <v>63</v>
      </c>
      <c r="B384" s="51" t="s">
        <v>104</v>
      </c>
      <c r="C384" s="24">
        <v>1988.0</v>
      </c>
      <c r="D384" s="24">
        <v>0.07947</v>
      </c>
      <c r="E384" s="52">
        <v>19.6</v>
      </c>
      <c r="F384" s="53">
        <f t="shared" si="1"/>
        <v>1.710257976</v>
      </c>
      <c r="G384" s="52">
        <v>11.9</v>
      </c>
      <c r="H384" s="54">
        <f t="shared" si="2"/>
        <v>0.9860135667</v>
      </c>
      <c r="I384" s="52">
        <v>6.2</v>
      </c>
      <c r="J384" s="54">
        <f t="shared" si="3"/>
        <v>0.8344348093</v>
      </c>
      <c r="K384" s="55">
        <v>2.375</v>
      </c>
      <c r="L384" s="54">
        <f t="shared" si="4"/>
        <v>0.2131666326</v>
      </c>
      <c r="M384" s="55">
        <v>0.270833333</v>
      </c>
      <c r="N384" s="56">
        <f t="shared" si="5"/>
        <v>0.02232027695</v>
      </c>
      <c r="O384" s="57">
        <v>0.581</v>
      </c>
      <c r="P384" s="24">
        <v>17707.0</v>
      </c>
      <c r="Q384" s="24">
        <v>6559.0</v>
      </c>
      <c r="R384" s="24">
        <v>10141.0</v>
      </c>
      <c r="S384" s="24">
        <v>374.0</v>
      </c>
      <c r="T384" s="24">
        <v>1724.0</v>
      </c>
      <c r="U384" s="24">
        <v>19.5442</v>
      </c>
      <c r="V384" s="24">
        <v>7.2395</v>
      </c>
      <c r="W384" s="24">
        <v>11.1932</v>
      </c>
      <c r="X384" s="24">
        <v>0.4128</v>
      </c>
      <c r="Y384" s="24">
        <v>1.9029</v>
      </c>
      <c r="Z384" s="24">
        <v>108.2</v>
      </c>
      <c r="AA384" s="24">
        <v>25.8</v>
      </c>
      <c r="AB384" s="24">
        <v>5.4</v>
      </c>
      <c r="AC384" s="24">
        <v>43.4</v>
      </c>
      <c r="AD384" s="24">
        <v>8.5</v>
      </c>
      <c r="AE384" s="24">
        <v>1.098</v>
      </c>
      <c r="AF384" s="24">
        <v>1.693548</v>
      </c>
      <c r="AG384" s="24">
        <v>1.129412</v>
      </c>
      <c r="AH384" s="24">
        <v>1.037037</v>
      </c>
      <c r="AI384" s="24">
        <v>1.042636</v>
      </c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</row>
    <row r="385">
      <c r="A385" s="51" t="s">
        <v>63</v>
      </c>
      <c r="B385" s="51" t="s">
        <v>104</v>
      </c>
      <c r="C385" s="24">
        <v>1989.0</v>
      </c>
      <c r="D385" s="24">
        <v>0.08499</v>
      </c>
      <c r="E385" s="52">
        <v>22.5</v>
      </c>
      <c r="F385" s="53">
        <f t="shared" si="1"/>
        <v>2.080363973</v>
      </c>
      <c r="G385" s="52">
        <v>12.8</v>
      </c>
      <c r="H385" s="54">
        <f t="shared" si="2"/>
        <v>1.143115228</v>
      </c>
      <c r="I385" s="52">
        <v>7.9</v>
      </c>
      <c r="J385" s="54">
        <f t="shared" si="3"/>
        <v>1.124133323</v>
      </c>
      <c r="K385" s="55">
        <v>2.688311688</v>
      </c>
      <c r="L385" s="54">
        <f t="shared" si="4"/>
        <v>0.2410334226</v>
      </c>
      <c r="M385" s="55">
        <v>0.428571429</v>
      </c>
      <c r="N385" s="56">
        <f t="shared" si="5"/>
        <v>0.03848604602</v>
      </c>
      <c r="O385" s="57">
        <v>0.625</v>
      </c>
      <c r="P385" s="24">
        <v>17707.0</v>
      </c>
      <c r="Q385" s="24">
        <v>6559.0</v>
      </c>
      <c r="R385" s="24">
        <v>10141.0</v>
      </c>
      <c r="S385" s="24">
        <v>374.0</v>
      </c>
      <c r="T385" s="24">
        <v>1724.0</v>
      </c>
      <c r="U385" s="24">
        <v>19.5442</v>
      </c>
      <c r="V385" s="24">
        <v>7.2395</v>
      </c>
      <c r="W385" s="24">
        <v>11.1932</v>
      </c>
      <c r="X385" s="24">
        <v>0.4128</v>
      </c>
      <c r="Y385" s="24">
        <v>1.9029</v>
      </c>
      <c r="Z385" s="24">
        <v>109.2</v>
      </c>
      <c r="AA385" s="24">
        <v>25.6</v>
      </c>
      <c r="AB385" s="24">
        <v>5.3</v>
      </c>
      <c r="AC385" s="24">
        <v>43.9</v>
      </c>
      <c r="AD385" s="24">
        <v>9.1</v>
      </c>
      <c r="AE385" s="24">
        <v>1.0879</v>
      </c>
      <c r="AF385" s="24">
        <v>1.67426</v>
      </c>
      <c r="AG385" s="24">
        <v>1.054945</v>
      </c>
      <c r="AH385" s="24">
        <v>1.056604</v>
      </c>
      <c r="AI385" s="24">
        <v>1.050781</v>
      </c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</row>
    <row r="386">
      <c r="A386" s="51" t="s">
        <v>63</v>
      </c>
      <c r="B386" s="51" t="s">
        <v>104</v>
      </c>
      <c r="C386" s="24">
        <v>1990.0</v>
      </c>
      <c r="D386" s="24">
        <v>0.0872</v>
      </c>
      <c r="E386" s="52">
        <v>22.3</v>
      </c>
      <c r="F386" s="53">
        <f t="shared" si="1"/>
        <v>2.159044968</v>
      </c>
      <c r="G386" s="52">
        <v>11.5</v>
      </c>
      <c r="H386" s="54">
        <f t="shared" si="2"/>
        <v>1.083345899</v>
      </c>
      <c r="I386" s="52">
        <v>6.6</v>
      </c>
      <c r="J386" s="54">
        <f t="shared" si="3"/>
        <v>0.9814549747</v>
      </c>
      <c r="K386" s="55">
        <v>2.506329114</v>
      </c>
      <c r="L386" s="54">
        <f t="shared" si="4"/>
        <v>0.2468351371</v>
      </c>
      <c r="M386" s="55">
        <v>0.64556962</v>
      </c>
      <c r="N386" s="56">
        <f t="shared" si="5"/>
        <v>0.06181264606</v>
      </c>
      <c r="O386" s="57">
        <v>0.622</v>
      </c>
      <c r="P386" s="24">
        <v>17707.0</v>
      </c>
      <c r="Q386" s="24">
        <v>6559.0</v>
      </c>
      <c r="R386" s="24">
        <v>10141.0</v>
      </c>
      <c r="S386" s="24">
        <v>374.0</v>
      </c>
      <c r="T386" s="24">
        <v>1724.0</v>
      </c>
      <c r="U386" s="24">
        <v>19.5442</v>
      </c>
      <c r="V386" s="24">
        <v>7.2395</v>
      </c>
      <c r="W386" s="24">
        <v>11.1932</v>
      </c>
      <c r="X386" s="24">
        <v>0.4128</v>
      </c>
      <c r="Y386" s="24">
        <v>1.9029</v>
      </c>
      <c r="Z386" s="24">
        <v>107.0</v>
      </c>
      <c r="AA386" s="24">
        <v>24.9</v>
      </c>
      <c r="AB386" s="24">
        <v>5.1</v>
      </c>
      <c r="AC386" s="24">
        <v>43.1</v>
      </c>
      <c r="AD386" s="24">
        <v>8.5</v>
      </c>
      <c r="AE386" s="24">
        <v>1.1103</v>
      </c>
      <c r="AF386" s="24">
        <v>1.705336</v>
      </c>
      <c r="AG386" s="24">
        <v>1.129412</v>
      </c>
      <c r="AH386" s="24">
        <v>1.098039</v>
      </c>
      <c r="AI386" s="24">
        <v>1.080321</v>
      </c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</row>
    <row r="387">
      <c r="A387" s="51" t="s">
        <v>63</v>
      </c>
      <c r="B387" s="51" t="s">
        <v>104</v>
      </c>
      <c r="C387" s="24">
        <v>1991.0</v>
      </c>
      <c r="D387" s="24">
        <v>0.0872</v>
      </c>
      <c r="E387" s="52">
        <v>19.4</v>
      </c>
      <c r="F387" s="53">
        <f t="shared" si="1"/>
        <v>1.890621568</v>
      </c>
      <c r="G387" s="52">
        <v>12.5</v>
      </c>
      <c r="H387" s="54">
        <f t="shared" si="2"/>
        <v>1.18708521</v>
      </c>
      <c r="I387" s="52">
        <v>7.0</v>
      </c>
      <c r="J387" s="54">
        <f t="shared" si="3"/>
        <v>1.036129584</v>
      </c>
      <c r="K387" s="55">
        <v>1.936708861</v>
      </c>
      <c r="L387" s="54">
        <f t="shared" si="4"/>
        <v>0.188518328</v>
      </c>
      <c r="M387" s="55">
        <v>0.32278481</v>
      </c>
      <c r="N387" s="56">
        <f t="shared" si="5"/>
        <v>0.0297400589</v>
      </c>
      <c r="O387" s="57">
        <v>0.623</v>
      </c>
      <c r="P387" s="24">
        <v>17707.0</v>
      </c>
      <c r="Q387" s="24">
        <v>6559.0</v>
      </c>
      <c r="R387" s="24">
        <v>10141.0</v>
      </c>
      <c r="S387" s="24">
        <v>374.0</v>
      </c>
      <c r="T387" s="24">
        <v>1724.0</v>
      </c>
      <c r="U387" s="24">
        <v>19.5442</v>
      </c>
      <c r="V387" s="24">
        <v>7.2395</v>
      </c>
      <c r="W387" s="24">
        <v>11.1932</v>
      </c>
      <c r="X387" s="24">
        <v>0.4128</v>
      </c>
      <c r="Y387" s="24">
        <v>1.9029</v>
      </c>
      <c r="Z387" s="24">
        <v>106.3</v>
      </c>
      <c r="AA387" s="24">
        <v>24.7</v>
      </c>
      <c r="AB387" s="24">
        <v>5.3</v>
      </c>
      <c r="AC387" s="24">
        <v>43.3</v>
      </c>
      <c r="AD387" s="24">
        <v>8.6</v>
      </c>
      <c r="AE387" s="24">
        <v>1.1176</v>
      </c>
      <c r="AF387" s="24">
        <v>1.69746</v>
      </c>
      <c r="AG387" s="24">
        <v>1.116279</v>
      </c>
      <c r="AH387" s="24">
        <v>1.056604</v>
      </c>
      <c r="AI387" s="24">
        <v>1.089069</v>
      </c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</row>
    <row r="388">
      <c r="A388" s="51" t="s">
        <v>63</v>
      </c>
      <c r="B388" s="51" t="s">
        <v>104</v>
      </c>
      <c r="C388" s="24">
        <v>1996.0</v>
      </c>
      <c r="D388" s="24">
        <v>0.03532</v>
      </c>
      <c r="E388" s="52">
        <v>14.6</v>
      </c>
      <c r="F388" s="53">
        <f t="shared" si="1"/>
        <v>0.615712368</v>
      </c>
      <c r="G388" s="52">
        <v>6.9</v>
      </c>
      <c r="H388" s="54">
        <f t="shared" si="2"/>
        <v>0.2887993416</v>
      </c>
      <c r="I388" s="52">
        <v>5.7</v>
      </c>
      <c r="J388" s="54">
        <f t="shared" si="3"/>
        <v>0.3582884712</v>
      </c>
      <c r="K388" s="55">
        <v>1.21875</v>
      </c>
      <c r="L388" s="54">
        <f t="shared" si="4"/>
        <v>0.0516555</v>
      </c>
      <c r="M388" s="55">
        <v>0.609375</v>
      </c>
      <c r="N388" s="56">
        <f t="shared" si="5"/>
        <v>0.02363323065</v>
      </c>
      <c r="O388" s="57">
        <v>0.612</v>
      </c>
      <c r="P388" s="24">
        <v>17707.0</v>
      </c>
      <c r="Q388" s="24">
        <v>6559.0</v>
      </c>
      <c r="R388" s="24">
        <v>10141.0</v>
      </c>
      <c r="S388" s="24">
        <v>374.0</v>
      </c>
      <c r="T388" s="24">
        <v>1724.0</v>
      </c>
      <c r="U388" s="24">
        <v>19.5442</v>
      </c>
      <c r="V388" s="24">
        <v>7.2395</v>
      </c>
      <c r="W388" s="24">
        <v>11.1932</v>
      </c>
      <c r="X388" s="24">
        <v>0.4128</v>
      </c>
      <c r="Y388" s="24">
        <v>1.9029</v>
      </c>
      <c r="Z388" s="24">
        <v>99.5</v>
      </c>
      <c r="AA388" s="24">
        <v>22.7</v>
      </c>
      <c r="AB388" s="24">
        <v>5.1</v>
      </c>
      <c r="AC388" s="24">
        <v>41.3</v>
      </c>
      <c r="AD388" s="24">
        <v>8.0</v>
      </c>
      <c r="AE388" s="24">
        <v>1.194</v>
      </c>
      <c r="AF388" s="24">
        <v>1.779661</v>
      </c>
      <c r="AG388" s="24">
        <v>1.2</v>
      </c>
      <c r="AH388" s="24">
        <v>1.098039</v>
      </c>
      <c r="AI388" s="24">
        <v>1.185022</v>
      </c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</row>
    <row r="389">
      <c r="A389" s="51" t="s">
        <v>42</v>
      </c>
      <c r="B389" s="51" t="s">
        <v>104</v>
      </c>
      <c r="C389" s="24">
        <v>1985.0</v>
      </c>
      <c r="D389" s="24">
        <v>0.07649</v>
      </c>
      <c r="E389" s="52">
        <v>28.2</v>
      </c>
      <c r="F389" s="53">
        <f t="shared" si="1"/>
        <v>2.3127547</v>
      </c>
      <c r="G389" s="52">
        <v>5.9</v>
      </c>
      <c r="H389" s="54">
        <f t="shared" si="2"/>
        <v>0.4615867529</v>
      </c>
      <c r="I389" s="52">
        <v>6.5</v>
      </c>
      <c r="J389" s="54">
        <f t="shared" si="3"/>
        <v>0.8400711212</v>
      </c>
      <c r="K389" s="55">
        <v>3.585365854</v>
      </c>
      <c r="L389" s="54">
        <f t="shared" si="4"/>
        <v>0.3097351808</v>
      </c>
      <c r="M389" s="55">
        <v>1.262195122</v>
      </c>
      <c r="N389" s="56">
        <f t="shared" si="5"/>
        <v>0.1020101553</v>
      </c>
      <c r="O389" s="57">
        <v>0.592</v>
      </c>
      <c r="P389" s="24">
        <v>32292.0</v>
      </c>
      <c r="Q389" s="24">
        <v>6672.0</v>
      </c>
      <c r="R389" s="24">
        <v>5633.0</v>
      </c>
      <c r="S389" s="24">
        <v>893.0</v>
      </c>
      <c r="T389" s="24">
        <v>2514.0</v>
      </c>
      <c r="U389" s="24">
        <v>30.1231</v>
      </c>
      <c r="V389" s="24">
        <v>6.2239</v>
      </c>
      <c r="W389" s="24">
        <v>5.2547</v>
      </c>
      <c r="X389" s="24">
        <v>0.833</v>
      </c>
      <c r="Y389" s="24">
        <v>2.3451</v>
      </c>
      <c r="Z389" s="24">
        <v>110.8</v>
      </c>
      <c r="AA389" s="24">
        <v>26.3</v>
      </c>
      <c r="AB389" s="24">
        <v>5.3</v>
      </c>
      <c r="AC389" s="24">
        <v>43.5</v>
      </c>
      <c r="AD389" s="24">
        <v>8.5</v>
      </c>
      <c r="AE389" s="24">
        <v>1.0722</v>
      </c>
      <c r="AF389" s="24">
        <v>1.689655</v>
      </c>
      <c r="AG389" s="24">
        <v>1.129412</v>
      </c>
      <c r="AH389" s="24">
        <v>1.056604</v>
      </c>
      <c r="AI389" s="24">
        <v>1.022814</v>
      </c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</row>
    <row r="390">
      <c r="A390" s="51" t="s">
        <v>42</v>
      </c>
      <c r="B390" s="51" t="s">
        <v>104</v>
      </c>
      <c r="C390" s="24">
        <v>1986.0</v>
      </c>
      <c r="D390" s="24">
        <v>0.01679</v>
      </c>
      <c r="E390" s="52">
        <v>22.7</v>
      </c>
      <c r="F390" s="53">
        <f t="shared" si="1"/>
        <v>0.410861374</v>
      </c>
      <c r="G390" s="52">
        <v>2.9</v>
      </c>
      <c r="H390" s="54">
        <f t="shared" si="2"/>
        <v>0.05037643897</v>
      </c>
      <c r="I390" s="52">
        <v>3.6</v>
      </c>
      <c r="J390" s="54">
        <f t="shared" si="3"/>
        <v>0.1018952863</v>
      </c>
      <c r="K390" s="55">
        <v>3.083333333</v>
      </c>
      <c r="L390" s="54">
        <f t="shared" si="4"/>
        <v>0.05647544983</v>
      </c>
      <c r="M390" s="55">
        <v>1.75</v>
      </c>
      <c r="N390" s="56">
        <f t="shared" si="5"/>
        <v>0.03104566703</v>
      </c>
      <c r="O390" s="57">
        <v>0.533</v>
      </c>
      <c r="P390" s="24">
        <v>32292.0</v>
      </c>
      <c r="Q390" s="24">
        <v>6672.0</v>
      </c>
      <c r="R390" s="24">
        <v>5633.0</v>
      </c>
      <c r="S390" s="24">
        <v>893.0</v>
      </c>
      <c r="T390" s="24">
        <v>2514.0</v>
      </c>
      <c r="U390" s="24">
        <v>30.1231</v>
      </c>
      <c r="V390" s="24">
        <v>6.2239</v>
      </c>
      <c r="W390" s="24">
        <v>5.2547</v>
      </c>
      <c r="X390" s="24">
        <v>0.833</v>
      </c>
      <c r="Y390" s="24">
        <v>2.3451</v>
      </c>
      <c r="Z390" s="24">
        <v>110.2</v>
      </c>
      <c r="AA390" s="24">
        <v>26.0</v>
      </c>
      <c r="AB390" s="24">
        <v>5.3</v>
      </c>
      <c r="AC390" s="24">
        <v>43.6</v>
      </c>
      <c r="AD390" s="24">
        <v>8.8</v>
      </c>
      <c r="AE390" s="24">
        <v>1.078</v>
      </c>
      <c r="AF390" s="24">
        <v>1.68578</v>
      </c>
      <c r="AG390" s="24">
        <v>1.090909</v>
      </c>
      <c r="AH390" s="24">
        <v>1.056604</v>
      </c>
      <c r="AI390" s="24">
        <v>1.034615</v>
      </c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</row>
    <row r="391">
      <c r="A391" s="51" t="s">
        <v>42</v>
      </c>
      <c r="B391" s="51" t="s">
        <v>104</v>
      </c>
      <c r="C391" s="24">
        <v>1987.0</v>
      </c>
      <c r="D391" s="24">
        <v>0.07649</v>
      </c>
      <c r="E391" s="52">
        <v>37.1</v>
      </c>
      <c r="F391" s="53">
        <f t="shared" si="1"/>
        <v>3.067639099</v>
      </c>
      <c r="G391" s="52">
        <v>4.6</v>
      </c>
      <c r="H391" s="54">
        <f t="shared" si="2"/>
        <v>0.3640334262</v>
      </c>
      <c r="I391" s="52">
        <v>5.2</v>
      </c>
      <c r="J391" s="54">
        <f t="shared" si="3"/>
        <v>0.6644201353</v>
      </c>
      <c r="K391" s="55">
        <v>4.317073171</v>
      </c>
      <c r="L391" s="54">
        <f t="shared" si="4"/>
        <v>0.3686097558</v>
      </c>
      <c r="M391" s="55">
        <v>2.286585366</v>
      </c>
      <c r="N391" s="56">
        <f t="shared" si="5"/>
        <v>0.1780809631</v>
      </c>
      <c r="O391" s="57">
        <v>0.562</v>
      </c>
      <c r="P391" s="24">
        <v>32292.0</v>
      </c>
      <c r="Q391" s="24">
        <v>6672.0</v>
      </c>
      <c r="R391" s="24">
        <v>5633.0</v>
      </c>
      <c r="S391" s="24">
        <v>893.0</v>
      </c>
      <c r="T391" s="24">
        <v>2514.0</v>
      </c>
      <c r="U391" s="24">
        <v>30.1231</v>
      </c>
      <c r="V391" s="24">
        <v>6.2239</v>
      </c>
      <c r="W391" s="24">
        <v>5.2547</v>
      </c>
      <c r="X391" s="24">
        <v>0.833</v>
      </c>
      <c r="Y391" s="24">
        <v>2.3451</v>
      </c>
      <c r="Z391" s="24">
        <v>109.9</v>
      </c>
      <c r="AA391" s="24">
        <v>26.0</v>
      </c>
      <c r="AB391" s="24">
        <v>5.5</v>
      </c>
      <c r="AC391" s="24">
        <v>44.0</v>
      </c>
      <c r="AD391" s="24">
        <v>8.6</v>
      </c>
      <c r="AE391" s="24">
        <v>1.081</v>
      </c>
      <c r="AF391" s="24">
        <v>1.670455</v>
      </c>
      <c r="AG391" s="24">
        <v>1.116279</v>
      </c>
      <c r="AH391" s="24">
        <v>1.018182</v>
      </c>
      <c r="AI391" s="24">
        <v>1.034615</v>
      </c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</row>
    <row r="392">
      <c r="A392" s="51" t="s">
        <v>42</v>
      </c>
      <c r="B392" s="51" t="s">
        <v>104</v>
      </c>
      <c r="C392" s="24">
        <v>1988.0</v>
      </c>
      <c r="D392" s="24">
        <v>0.07649</v>
      </c>
      <c r="E392" s="52">
        <v>35.0</v>
      </c>
      <c r="F392" s="53">
        <f t="shared" si="1"/>
        <v>2.9395107</v>
      </c>
      <c r="G392" s="52">
        <v>5.9</v>
      </c>
      <c r="H392" s="54">
        <f t="shared" si="2"/>
        <v>0.4705322431</v>
      </c>
      <c r="I392" s="52">
        <v>5.5</v>
      </c>
      <c r="J392" s="54">
        <f t="shared" si="3"/>
        <v>0.7124671759</v>
      </c>
      <c r="K392" s="55">
        <v>4.737804878</v>
      </c>
      <c r="L392" s="54">
        <f t="shared" si="4"/>
        <v>0.4092929174</v>
      </c>
      <c r="M392" s="55">
        <v>2.396341463</v>
      </c>
      <c r="N392" s="56">
        <f t="shared" si="5"/>
        <v>0.1900848983</v>
      </c>
      <c r="O392" s="57">
        <v>0.603</v>
      </c>
      <c r="P392" s="24">
        <v>32292.0</v>
      </c>
      <c r="Q392" s="24">
        <v>6672.0</v>
      </c>
      <c r="R392" s="24">
        <v>5633.0</v>
      </c>
      <c r="S392" s="24">
        <v>893.0</v>
      </c>
      <c r="T392" s="24">
        <v>2514.0</v>
      </c>
      <c r="U392" s="24">
        <v>30.1231</v>
      </c>
      <c r="V392" s="24">
        <v>6.2239</v>
      </c>
      <c r="W392" s="24">
        <v>5.2547</v>
      </c>
      <c r="X392" s="24">
        <v>0.833</v>
      </c>
      <c r="Y392" s="24">
        <v>2.3451</v>
      </c>
      <c r="Z392" s="24">
        <v>108.2</v>
      </c>
      <c r="AA392" s="24">
        <v>25.8</v>
      </c>
      <c r="AB392" s="24">
        <v>5.4</v>
      </c>
      <c r="AC392" s="24">
        <v>43.4</v>
      </c>
      <c r="AD392" s="24">
        <v>8.5</v>
      </c>
      <c r="AE392" s="24">
        <v>1.098</v>
      </c>
      <c r="AF392" s="24">
        <v>1.693548</v>
      </c>
      <c r="AG392" s="24">
        <v>1.129412</v>
      </c>
      <c r="AH392" s="24">
        <v>1.037037</v>
      </c>
      <c r="AI392" s="24">
        <v>1.042636</v>
      </c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</row>
    <row r="393">
      <c r="A393" s="51" t="s">
        <v>42</v>
      </c>
      <c r="B393" s="51" t="s">
        <v>104</v>
      </c>
      <c r="C393" s="24">
        <v>1989.0</v>
      </c>
      <c r="D393" s="24">
        <v>0.07556</v>
      </c>
      <c r="E393" s="52">
        <v>32.5</v>
      </c>
      <c r="F393" s="53">
        <f t="shared" si="1"/>
        <v>2.67155603</v>
      </c>
      <c r="G393" s="52">
        <v>8.0</v>
      </c>
      <c r="H393" s="54">
        <f t="shared" si="2"/>
        <v>0.6351760989</v>
      </c>
      <c r="I393" s="52">
        <v>8.0</v>
      </c>
      <c r="J393" s="54">
        <f t="shared" si="3"/>
        <v>1.012056685</v>
      </c>
      <c r="K393" s="55">
        <v>4.333333333</v>
      </c>
      <c r="L393" s="54">
        <f t="shared" si="4"/>
        <v>0.3454171248</v>
      </c>
      <c r="M393" s="55">
        <v>1.203703704</v>
      </c>
      <c r="N393" s="56">
        <f t="shared" si="5"/>
        <v>0.0961000905</v>
      </c>
      <c r="O393" s="57">
        <v>0.614</v>
      </c>
      <c r="P393" s="24">
        <v>32292.0</v>
      </c>
      <c r="Q393" s="24">
        <v>6672.0</v>
      </c>
      <c r="R393" s="24">
        <v>5633.0</v>
      </c>
      <c r="S393" s="24">
        <v>893.0</v>
      </c>
      <c r="T393" s="24">
        <v>2514.0</v>
      </c>
      <c r="U393" s="24">
        <v>30.1231</v>
      </c>
      <c r="V393" s="24">
        <v>6.2239</v>
      </c>
      <c r="W393" s="24">
        <v>5.2547</v>
      </c>
      <c r="X393" s="24">
        <v>0.833</v>
      </c>
      <c r="Y393" s="24">
        <v>2.3451</v>
      </c>
      <c r="Z393" s="24">
        <v>109.2</v>
      </c>
      <c r="AA393" s="24">
        <v>25.6</v>
      </c>
      <c r="AB393" s="24">
        <v>5.3</v>
      </c>
      <c r="AC393" s="24">
        <v>43.9</v>
      </c>
      <c r="AD393" s="24">
        <v>9.1</v>
      </c>
      <c r="AE393" s="24">
        <v>1.0879</v>
      </c>
      <c r="AF393" s="24">
        <v>1.67426</v>
      </c>
      <c r="AG393" s="24">
        <v>1.054945</v>
      </c>
      <c r="AH393" s="24">
        <v>1.056604</v>
      </c>
      <c r="AI393" s="24">
        <v>1.050781</v>
      </c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</row>
    <row r="394">
      <c r="A394" s="51" t="s">
        <v>42</v>
      </c>
      <c r="B394" s="51" t="s">
        <v>104</v>
      </c>
      <c r="C394" s="24">
        <v>1990.0</v>
      </c>
      <c r="D394" s="24">
        <v>0.07649</v>
      </c>
      <c r="E394" s="52">
        <v>33.6</v>
      </c>
      <c r="F394" s="53">
        <f t="shared" si="1"/>
        <v>2.853542059</v>
      </c>
      <c r="G394" s="52">
        <v>6.3</v>
      </c>
      <c r="H394" s="54">
        <f t="shared" si="2"/>
        <v>0.5205926457</v>
      </c>
      <c r="I394" s="52">
        <v>6.9</v>
      </c>
      <c r="J394" s="54">
        <f t="shared" si="3"/>
        <v>0.9000439394</v>
      </c>
      <c r="K394" s="55">
        <v>4.152439024</v>
      </c>
      <c r="L394" s="54">
        <f t="shared" si="4"/>
        <v>0.3587239083</v>
      </c>
      <c r="M394" s="55">
        <v>0.987804878</v>
      </c>
      <c r="N394" s="56">
        <f t="shared" si="5"/>
        <v>0.08296474697</v>
      </c>
      <c r="O394" s="57">
        <v>0.606</v>
      </c>
      <c r="P394" s="24">
        <v>32292.0</v>
      </c>
      <c r="Q394" s="24">
        <v>6672.0</v>
      </c>
      <c r="R394" s="24">
        <v>5633.0</v>
      </c>
      <c r="S394" s="24">
        <v>893.0</v>
      </c>
      <c r="T394" s="24">
        <v>2514.0</v>
      </c>
      <c r="U394" s="24">
        <v>30.1231</v>
      </c>
      <c r="V394" s="24">
        <v>6.2239</v>
      </c>
      <c r="W394" s="24">
        <v>5.2547</v>
      </c>
      <c r="X394" s="24">
        <v>0.833</v>
      </c>
      <c r="Y394" s="24">
        <v>2.3451</v>
      </c>
      <c r="Z394" s="24">
        <v>107.0</v>
      </c>
      <c r="AA394" s="24">
        <v>24.9</v>
      </c>
      <c r="AB394" s="24">
        <v>5.1</v>
      </c>
      <c r="AC394" s="24">
        <v>43.1</v>
      </c>
      <c r="AD394" s="24">
        <v>8.5</v>
      </c>
      <c r="AE394" s="24">
        <v>1.1103</v>
      </c>
      <c r="AF394" s="24">
        <v>1.705336</v>
      </c>
      <c r="AG394" s="24">
        <v>1.129412</v>
      </c>
      <c r="AH394" s="24">
        <v>1.098039</v>
      </c>
      <c r="AI394" s="24">
        <v>1.080321</v>
      </c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</row>
    <row r="395">
      <c r="A395" s="51" t="s">
        <v>42</v>
      </c>
      <c r="B395" s="51" t="s">
        <v>104</v>
      </c>
      <c r="C395" s="24">
        <v>1991.0</v>
      </c>
      <c r="D395" s="24">
        <v>0.07649</v>
      </c>
      <c r="E395" s="52">
        <v>31.5</v>
      </c>
      <c r="F395" s="53">
        <f t="shared" si="1"/>
        <v>2.692784556</v>
      </c>
      <c r="G395" s="52">
        <v>5.5</v>
      </c>
      <c r="H395" s="54">
        <f t="shared" si="2"/>
        <v>0.458165883</v>
      </c>
      <c r="I395" s="52">
        <v>6.0</v>
      </c>
      <c r="J395" s="54">
        <f t="shared" si="3"/>
        <v>0.7790322924</v>
      </c>
      <c r="K395" s="55">
        <v>4.079268293</v>
      </c>
      <c r="L395" s="54">
        <f t="shared" si="4"/>
        <v>0.3483049811</v>
      </c>
      <c r="M395" s="55">
        <v>1.518292683</v>
      </c>
      <c r="N395" s="56">
        <f t="shared" si="5"/>
        <v>0.122707868</v>
      </c>
      <c r="O395" s="57">
        <v>0.605</v>
      </c>
      <c r="P395" s="24">
        <v>32292.0</v>
      </c>
      <c r="Q395" s="24">
        <v>6672.0</v>
      </c>
      <c r="R395" s="24">
        <v>5633.0</v>
      </c>
      <c r="S395" s="24">
        <v>893.0</v>
      </c>
      <c r="T395" s="24">
        <v>2514.0</v>
      </c>
      <c r="U395" s="24">
        <v>30.1231</v>
      </c>
      <c r="V395" s="24">
        <v>6.2239</v>
      </c>
      <c r="W395" s="24">
        <v>5.2547</v>
      </c>
      <c r="X395" s="24">
        <v>0.833</v>
      </c>
      <c r="Y395" s="24">
        <v>2.3451</v>
      </c>
      <c r="Z395" s="24">
        <v>106.3</v>
      </c>
      <c r="AA395" s="24">
        <v>24.7</v>
      </c>
      <c r="AB395" s="24">
        <v>5.3</v>
      </c>
      <c r="AC395" s="24">
        <v>43.3</v>
      </c>
      <c r="AD395" s="24">
        <v>8.6</v>
      </c>
      <c r="AE395" s="24">
        <v>1.1176</v>
      </c>
      <c r="AF395" s="24">
        <v>1.69746</v>
      </c>
      <c r="AG395" s="24">
        <v>1.116279</v>
      </c>
      <c r="AH395" s="24">
        <v>1.056604</v>
      </c>
      <c r="AI395" s="24">
        <v>1.089069</v>
      </c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</row>
    <row r="396">
      <c r="A396" s="51" t="s">
        <v>42</v>
      </c>
      <c r="B396" s="51" t="s">
        <v>104</v>
      </c>
      <c r="C396" s="24">
        <v>1992.0</v>
      </c>
      <c r="D396" s="24">
        <v>0.07463</v>
      </c>
      <c r="E396" s="52">
        <v>30.1</v>
      </c>
      <c r="F396" s="53">
        <f t="shared" si="1"/>
        <v>2.534346737</v>
      </c>
      <c r="G396" s="52">
        <v>6.1</v>
      </c>
      <c r="H396" s="54">
        <f t="shared" si="2"/>
        <v>0.499838149</v>
      </c>
      <c r="I396" s="52">
        <v>6.4</v>
      </c>
      <c r="J396" s="54">
        <f t="shared" si="3"/>
        <v>0.8033397687</v>
      </c>
      <c r="K396" s="55">
        <v>3.4125</v>
      </c>
      <c r="L396" s="54">
        <f t="shared" si="4"/>
        <v>0.2842882148</v>
      </c>
      <c r="M396" s="55">
        <v>1.40625</v>
      </c>
      <c r="N396" s="56">
        <f t="shared" si="5"/>
        <v>0.10685661</v>
      </c>
      <c r="O396" s="57">
        <v>0.579</v>
      </c>
      <c r="P396" s="24">
        <v>32292.0</v>
      </c>
      <c r="Q396" s="24">
        <v>6672.0</v>
      </c>
      <c r="R396" s="24">
        <v>5633.0</v>
      </c>
      <c r="S396" s="24">
        <v>893.0</v>
      </c>
      <c r="T396" s="24">
        <v>2514.0</v>
      </c>
      <c r="U396" s="24">
        <v>30.1231</v>
      </c>
      <c r="V396" s="24">
        <v>6.2239</v>
      </c>
      <c r="W396" s="24">
        <v>5.2547</v>
      </c>
      <c r="X396" s="24">
        <v>0.833</v>
      </c>
      <c r="Y396" s="24">
        <v>2.3451</v>
      </c>
      <c r="Z396" s="24">
        <v>105.3</v>
      </c>
      <c r="AA396" s="24">
        <v>24.5</v>
      </c>
      <c r="AB396" s="24">
        <v>5.5</v>
      </c>
      <c r="AC396" s="24">
        <v>43.7</v>
      </c>
      <c r="AD396" s="24">
        <v>8.6</v>
      </c>
      <c r="AE396" s="24">
        <v>1.1282</v>
      </c>
      <c r="AF396" s="24">
        <v>1.681922</v>
      </c>
      <c r="AG396" s="24">
        <v>1.116279</v>
      </c>
      <c r="AH396" s="24">
        <v>1.018182</v>
      </c>
      <c r="AI396" s="24">
        <v>1.097959</v>
      </c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</row>
    <row r="397">
      <c r="A397" s="51" t="s">
        <v>42</v>
      </c>
      <c r="B397" s="51" t="s">
        <v>104</v>
      </c>
      <c r="C397" s="24">
        <v>1993.0</v>
      </c>
      <c r="D397" s="24">
        <v>0.07276</v>
      </c>
      <c r="E397" s="52">
        <v>32.6</v>
      </c>
      <c r="F397" s="53">
        <f t="shared" si="1"/>
        <v>2.676063323</v>
      </c>
      <c r="G397" s="52">
        <v>5.5</v>
      </c>
      <c r="H397" s="54">
        <f t="shared" si="2"/>
        <v>0.4358236324</v>
      </c>
      <c r="I397" s="52">
        <v>6.7</v>
      </c>
      <c r="J397" s="54">
        <f t="shared" si="3"/>
        <v>0.8313376573</v>
      </c>
      <c r="K397" s="55">
        <v>4.25</v>
      </c>
      <c r="L397" s="54">
        <f t="shared" si="4"/>
        <v>0.3451869552</v>
      </c>
      <c r="M397" s="55">
        <v>1.173076923</v>
      </c>
      <c r="N397" s="56">
        <f t="shared" si="5"/>
        <v>0.09191869165</v>
      </c>
      <c r="O397" s="57">
        <v>0.564</v>
      </c>
      <c r="P397" s="24">
        <v>32292.0</v>
      </c>
      <c r="Q397" s="24">
        <v>6672.0</v>
      </c>
      <c r="R397" s="24">
        <v>5633.0</v>
      </c>
      <c r="S397" s="24">
        <v>893.0</v>
      </c>
      <c r="T397" s="24">
        <v>2514.0</v>
      </c>
      <c r="U397" s="24">
        <v>30.1231</v>
      </c>
      <c r="V397" s="24">
        <v>6.2239</v>
      </c>
      <c r="W397" s="24">
        <v>5.2547</v>
      </c>
      <c r="X397" s="24">
        <v>0.833</v>
      </c>
      <c r="Y397" s="24">
        <v>2.3451</v>
      </c>
      <c r="Z397" s="24">
        <v>105.3</v>
      </c>
      <c r="AA397" s="24">
        <v>24.7</v>
      </c>
      <c r="AB397" s="24">
        <v>5.2</v>
      </c>
      <c r="AC397" s="24">
        <v>43.1</v>
      </c>
      <c r="AD397" s="24">
        <v>8.6</v>
      </c>
      <c r="AE397" s="24">
        <v>1.1282</v>
      </c>
      <c r="AF397" s="24">
        <v>1.705336</v>
      </c>
      <c r="AG397" s="24">
        <v>1.116279</v>
      </c>
      <c r="AH397" s="24">
        <v>1.076923</v>
      </c>
      <c r="AI397" s="24">
        <v>1.089069</v>
      </c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</row>
    <row r="398">
      <c r="A398" s="51" t="s">
        <v>42</v>
      </c>
      <c r="B398" s="51" t="s">
        <v>104</v>
      </c>
      <c r="C398" s="24">
        <v>1995.0</v>
      </c>
      <c r="D398" s="24">
        <v>0.01586</v>
      </c>
      <c r="E398" s="52">
        <v>26.9</v>
      </c>
      <c r="F398" s="53">
        <f t="shared" si="1"/>
        <v>0.4998443944</v>
      </c>
      <c r="G398" s="52">
        <v>5.3</v>
      </c>
      <c r="H398" s="54">
        <f t="shared" si="2"/>
        <v>0.09663080723</v>
      </c>
      <c r="I398" s="52">
        <v>6.9</v>
      </c>
      <c r="J398" s="54">
        <f t="shared" si="3"/>
        <v>0.1933509459</v>
      </c>
      <c r="K398" s="55">
        <v>2.647058824</v>
      </c>
      <c r="L398" s="54">
        <f t="shared" si="4"/>
        <v>0.04855792294</v>
      </c>
      <c r="M398" s="55">
        <v>1.147058824</v>
      </c>
      <c r="N398" s="56">
        <f t="shared" si="5"/>
        <v>0.01959176331</v>
      </c>
      <c r="O398" s="57">
        <v>0.493</v>
      </c>
      <c r="P398" s="24">
        <v>32292.0</v>
      </c>
      <c r="Q398" s="24">
        <v>6672.0</v>
      </c>
      <c r="R398" s="24">
        <v>5633.0</v>
      </c>
      <c r="S398" s="24">
        <v>893.0</v>
      </c>
      <c r="T398" s="24">
        <v>2514.0</v>
      </c>
      <c r="U398" s="24">
        <v>30.1231</v>
      </c>
      <c r="V398" s="24">
        <v>6.2239</v>
      </c>
      <c r="W398" s="24">
        <v>5.2547</v>
      </c>
      <c r="X398" s="24">
        <v>0.833</v>
      </c>
      <c r="Y398" s="24">
        <v>2.3451</v>
      </c>
      <c r="Z398" s="24">
        <v>101.4</v>
      </c>
      <c r="AA398" s="24">
        <v>23.4</v>
      </c>
      <c r="AB398" s="24">
        <v>5.2</v>
      </c>
      <c r="AC398" s="24">
        <v>41.6</v>
      </c>
      <c r="AD398" s="24">
        <v>8.3</v>
      </c>
      <c r="AE398" s="24">
        <v>1.1716</v>
      </c>
      <c r="AF398" s="24">
        <v>1.766827</v>
      </c>
      <c r="AG398" s="24">
        <v>1.156627</v>
      </c>
      <c r="AH398" s="24">
        <v>1.076923</v>
      </c>
      <c r="AI398" s="24">
        <v>1.149573</v>
      </c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</row>
    <row r="399">
      <c r="A399" s="51" t="s">
        <v>42</v>
      </c>
      <c r="B399" s="51" t="s">
        <v>104</v>
      </c>
      <c r="C399" s="24">
        <v>1996.0</v>
      </c>
      <c r="D399" s="24">
        <v>0.07649</v>
      </c>
      <c r="E399" s="52">
        <v>30.4</v>
      </c>
      <c r="F399" s="53">
        <f t="shared" si="1"/>
        <v>2.776403424</v>
      </c>
      <c r="G399" s="52">
        <v>4.3</v>
      </c>
      <c r="H399" s="54">
        <f t="shared" si="2"/>
        <v>0.389762031</v>
      </c>
      <c r="I399" s="52">
        <v>6.6</v>
      </c>
      <c r="J399" s="54">
        <f t="shared" si="3"/>
        <v>0.8984333813</v>
      </c>
      <c r="K399" s="55">
        <v>3.292682927</v>
      </c>
      <c r="L399" s="54">
        <f t="shared" si="4"/>
        <v>0.3022287805</v>
      </c>
      <c r="M399" s="55">
        <v>0.768292683</v>
      </c>
      <c r="N399" s="56">
        <f t="shared" si="5"/>
        <v>0.06452813654</v>
      </c>
      <c r="O399" s="57">
        <v>0.582</v>
      </c>
      <c r="P399" s="24">
        <v>32292.0</v>
      </c>
      <c r="Q399" s="24">
        <v>6672.0</v>
      </c>
      <c r="R399" s="24">
        <v>5633.0</v>
      </c>
      <c r="S399" s="24">
        <v>893.0</v>
      </c>
      <c r="T399" s="24">
        <v>2514.0</v>
      </c>
      <c r="U399" s="24">
        <v>30.1231</v>
      </c>
      <c r="V399" s="24">
        <v>6.2239</v>
      </c>
      <c r="W399" s="24">
        <v>5.2547</v>
      </c>
      <c r="X399" s="24">
        <v>0.833</v>
      </c>
      <c r="Y399" s="24">
        <v>2.3451</v>
      </c>
      <c r="Z399" s="24">
        <v>99.5</v>
      </c>
      <c r="AA399" s="24">
        <v>22.7</v>
      </c>
      <c r="AB399" s="24">
        <v>5.1</v>
      </c>
      <c r="AC399" s="24">
        <v>41.3</v>
      </c>
      <c r="AD399" s="24">
        <v>8.0</v>
      </c>
      <c r="AE399" s="24">
        <v>1.194</v>
      </c>
      <c r="AF399" s="24">
        <v>1.779661</v>
      </c>
      <c r="AG399" s="24">
        <v>1.2</v>
      </c>
      <c r="AH399" s="24">
        <v>1.098039</v>
      </c>
      <c r="AI399" s="24">
        <v>1.185022</v>
      </c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</row>
    <row r="400">
      <c r="A400" s="51" t="s">
        <v>42</v>
      </c>
      <c r="B400" s="51" t="s">
        <v>104</v>
      </c>
      <c r="C400" s="24">
        <v>1997.0</v>
      </c>
      <c r="D400" s="24">
        <v>0.07649</v>
      </c>
      <c r="E400" s="52">
        <v>29.6</v>
      </c>
      <c r="F400" s="53">
        <f t="shared" si="1"/>
        <v>2.775791504</v>
      </c>
      <c r="G400" s="52">
        <v>4.3</v>
      </c>
      <c r="H400" s="54">
        <f t="shared" si="2"/>
        <v>0.4021634694</v>
      </c>
      <c r="I400" s="52">
        <v>5.9</v>
      </c>
      <c r="J400" s="54">
        <f t="shared" si="3"/>
        <v>0.8070531724</v>
      </c>
      <c r="K400" s="55">
        <v>2.56097561</v>
      </c>
      <c r="L400" s="54">
        <f t="shared" si="4"/>
        <v>0.2293335493</v>
      </c>
      <c r="M400" s="55">
        <v>0.804878049</v>
      </c>
      <c r="N400" s="56">
        <f t="shared" si="5"/>
        <v>0.0703601306</v>
      </c>
      <c r="O400" s="57">
        <v>0.567</v>
      </c>
      <c r="P400" s="24">
        <v>32292.0</v>
      </c>
      <c r="Q400" s="24">
        <v>6672.0</v>
      </c>
      <c r="R400" s="24">
        <v>5633.0</v>
      </c>
      <c r="S400" s="24">
        <v>893.0</v>
      </c>
      <c r="T400" s="24">
        <v>2514.0</v>
      </c>
      <c r="U400" s="24">
        <v>30.1231</v>
      </c>
      <c r="V400" s="24">
        <v>6.2239</v>
      </c>
      <c r="W400" s="24">
        <v>5.2547</v>
      </c>
      <c r="X400" s="24">
        <v>0.833</v>
      </c>
      <c r="Y400" s="24">
        <v>2.3451</v>
      </c>
      <c r="Z400" s="24">
        <v>96.9</v>
      </c>
      <c r="AA400" s="24">
        <v>22.0</v>
      </c>
      <c r="AB400" s="24">
        <v>4.9</v>
      </c>
      <c r="AC400" s="24">
        <v>41.1</v>
      </c>
      <c r="AD400" s="24">
        <v>8.2</v>
      </c>
      <c r="AE400" s="24">
        <v>1.226</v>
      </c>
      <c r="AF400" s="24">
        <v>1.788321</v>
      </c>
      <c r="AG400" s="24">
        <v>1.170732</v>
      </c>
      <c r="AH400" s="24">
        <v>1.142857</v>
      </c>
      <c r="AI400" s="24">
        <v>1.222727</v>
      </c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</row>
    <row r="401">
      <c r="A401" s="51" t="s">
        <v>42</v>
      </c>
      <c r="B401" s="51" t="s">
        <v>104</v>
      </c>
      <c r="C401" s="24">
        <v>1998.0</v>
      </c>
      <c r="D401" s="24">
        <v>0.07649</v>
      </c>
      <c r="E401" s="52">
        <v>28.7</v>
      </c>
      <c r="F401" s="53">
        <f t="shared" si="1"/>
        <v>2.72805333</v>
      </c>
      <c r="G401" s="52">
        <v>3.5</v>
      </c>
      <c r="H401" s="54">
        <f t="shared" si="2"/>
        <v>0.3273423588</v>
      </c>
      <c r="I401" s="52">
        <v>5.8</v>
      </c>
      <c r="J401" s="54">
        <f t="shared" si="3"/>
        <v>0.7857272479</v>
      </c>
      <c r="K401" s="55">
        <v>2.579268293</v>
      </c>
      <c r="L401" s="54">
        <f t="shared" si="4"/>
        <v>0.2254722367</v>
      </c>
      <c r="M401" s="55">
        <v>0.823170732</v>
      </c>
      <c r="N401" s="56">
        <f t="shared" si="5"/>
        <v>0.06913728917</v>
      </c>
      <c r="O401" s="57">
        <v>0.533</v>
      </c>
      <c r="P401" s="24">
        <v>32292.0</v>
      </c>
      <c r="Q401" s="24">
        <v>6672.0</v>
      </c>
      <c r="R401" s="24">
        <v>5633.0</v>
      </c>
      <c r="S401" s="24">
        <v>893.0</v>
      </c>
      <c r="T401" s="24">
        <v>2514.0</v>
      </c>
      <c r="U401" s="24">
        <v>30.1231</v>
      </c>
      <c r="V401" s="24">
        <v>6.2239</v>
      </c>
      <c r="W401" s="24">
        <v>5.2547</v>
      </c>
      <c r="X401" s="24">
        <v>0.833</v>
      </c>
      <c r="Y401" s="24">
        <v>2.3451</v>
      </c>
      <c r="Z401" s="24">
        <v>95.6</v>
      </c>
      <c r="AA401" s="24">
        <v>22.0</v>
      </c>
      <c r="AB401" s="24">
        <v>5.1</v>
      </c>
      <c r="AC401" s="24">
        <v>41.5</v>
      </c>
      <c r="AD401" s="24">
        <v>8.4</v>
      </c>
      <c r="AE401" s="24">
        <v>1.2427</v>
      </c>
      <c r="AF401" s="24">
        <v>1.771084</v>
      </c>
      <c r="AG401" s="24">
        <v>1.142857</v>
      </c>
      <c r="AH401" s="24">
        <v>1.098039</v>
      </c>
      <c r="AI401" s="24">
        <v>1.222727</v>
      </c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</row>
    <row r="402">
      <c r="A402" s="51" t="s">
        <v>42</v>
      </c>
      <c r="B402" s="51" t="s">
        <v>104</v>
      </c>
      <c r="C402" s="24">
        <v>2002.0</v>
      </c>
      <c r="D402" s="24">
        <v>0.05597</v>
      </c>
      <c r="E402" s="52">
        <v>22.9</v>
      </c>
      <c r="F402" s="53">
        <f t="shared" si="1"/>
        <v>1.594450972</v>
      </c>
      <c r="G402" s="52">
        <v>5.2</v>
      </c>
      <c r="H402" s="54">
        <f t="shared" si="2"/>
        <v>0.3574925467</v>
      </c>
      <c r="I402" s="52">
        <v>5.7</v>
      </c>
      <c r="J402" s="54">
        <f t="shared" si="3"/>
        <v>0.5530339002</v>
      </c>
      <c r="K402" s="55">
        <v>2.125</v>
      </c>
      <c r="L402" s="54">
        <f t="shared" si="4"/>
        <v>0.1463830495</v>
      </c>
      <c r="M402" s="55">
        <v>0.65</v>
      </c>
      <c r="N402" s="56">
        <f t="shared" si="5"/>
        <v>0.0391789972</v>
      </c>
      <c r="O402" s="57">
        <v>0.468</v>
      </c>
      <c r="P402" s="24">
        <v>32292.0</v>
      </c>
      <c r="Q402" s="24">
        <v>6672.0</v>
      </c>
      <c r="R402" s="24">
        <v>5633.0</v>
      </c>
      <c r="S402" s="24">
        <v>893.0</v>
      </c>
      <c r="T402" s="24">
        <v>2514.0</v>
      </c>
      <c r="U402" s="24">
        <v>30.1231</v>
      </c>
      <c r="V402" s="24">
        <v>6.2239</v>
      </c>
      <c r="W402" s="24">
        <v>5.2547</v>
      </c>
      <c r="X402" s="24">
        <v>0.833</v>
      </c>
      <c r="Y402" s="24">
        <v>2.3451</v>
      </c>
      <c r="Z402" s="24">
        <v>95.5</v>
      </c>
      <c r="AA402" s="24">
        <v>21.9</v>
      </c>
      <c r="AB402" s="24">
        <v>5.2</v>
      </c>
      <c r="AC402" s="24">
        <v>42.4</v>
      </c>
      <c r="AD402" s="24">
        <v>7.8</v>
      </c>
      <c r="AE402" s="24">
        <v>1.244</v>
      </c>
      <c r="AF402" s="24">
        <v>1.733491</v>
      </c>
      <c r="AG402" s="24">
        <v>1.230769</v>
      </c>
      <c r="AH402" s="24">
        <v>1.076923</v>
      </c>
      <c r="AI402" s="24">
        <v>1.228311</v>
      </c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</row>
    <row r="403">
      <c r="A403" s="51" t="s">
        <v>42</v>
      </c>
      <c r="B403" s="51" t="s">
        <v>104</v>
      </c>
      <c r="C403" s="24">
        <v>2003.0</v>
      </c>
      <c r="D403" s="24">
        <v>0.07649</v>
      </c>
      <c r="E403" s="52">
        <v>20.0</v>
      </c>
      <c r="F403" s="53">
        <f t="shared" si="1"/>
        <v>1.91102616</v>
      </c>
      <c r="G403" s="52">
        <v>3.8</v>
      </c>
      <c r="H403" s="54">
        <f t="shared" si="2"/>
        <v>0.3636655399</v>
      </c>
      <c r="I403" s="52">
        <v>6.1</v>
      </c>
      <c r="J403" s="54">
        <f t="shared" si="3"/>
        <v>0.8107399139</v>
      </c>
      <c r="K403" s="55">
        <v>2.25</v>
      </c>
      <c r="L403" s="54">
        <f t="shared" si="4"/>
        <v>0.209137237</v>
      </c>
      <c r="M403" s="55">
        <v>0.713414634</v>
      </c>
      <c r="N403" s="56">
        <f t="shared" si="5"/>
        <v>0.0611173756</v>
      </c>
      <c r="O403" s="57">
        <v>0.491</v>
      </c>
      <c r="P403" s="24">
        <v>32292.0</v>
      </c>
      <c r="Q403" s="24">
        <v>6672.0</v>
      </c>
      <c r="R403" s="24">
        <v>5633.0</v>
      </c>
      <c r="S403" s="24">
        <v>893.0</v>
      </c>
      <c r="T403" s="24">
        <v>2514.0</v>
      </c>
      <c r="U403" s="24">
        <v>30.1231</v>
      </c>
      <c r="V403" s="24">
        <v>6.2239</v>
      </c>
      <c r="W403" s="24">
        <v>5.2547</v>
      </c>
      <c r="X403" s="24">
        <v>0.833</v>
      </c>
      <c r="Y403" s="24">
        <v>2.3451</v>
      </c>
      <c r="Z403" s="24">
        <v>95.1</v>
      </c>
      <c r="AA403" s="24">
        <v>21.5</v>
      </c>
      <c r="AB403" s="24">
        <v>5.0</v>
      </c>
      <c r="AC403" s="24">
        <v>42.3</v>
      </c>
      <c r="AD403" s="24">
        <v>7.9</v>
      </c>
      <c r="AE403" s="24">
        <v>1.2492</v>
      </c>
      <c r="AF403" s="24">
        <v>1.737589</v>
      </c>
      <c r="AG403" s="24">
        <v>1.21519</v>
      </c>
      <c r="AH403" s="24">
        <v>1.12</v>
      </c>
      <c r="AI403" s="24">
        <v>1.251163</v>
      </c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8"/>
    </row>
    <row r="404">
      <c r="A404" s="51" t="s">
        <v>50</v>
      </c>
      <c r="B404" s="51" t="s">
        <v>104</v>
      </c>
      <c r="C404" s="24">
        <v>1961.0</v>
      </c>
      <c r="D404" s="24">
        <v>0.06827</v>
      </c>
      <c r="E404" s="52">
        <v>30.5</v>
      </c>
      <c r="F404" s="53">
        <f t="shared" si="1"/>
        <v>2.094520187</v>
      </c>
      <c r="G404" s="52">
        <v>9.7</v>
      </c>
      <c r="H404" s="54">
        <f t="shared" si="2"/>
        <v>0.7361027738</v>
      </c>
      <c r="I404" s="52">
        <v>10.1</v>
      </c>
      <c r="J404" s="54">
        <f t="shared" si="3"/>
        <v>0.6914087192</v>
      </c>
      <c r="K404" s="55">
        <v>0.0</v>
      </c>
      <c r="L404" s="54" t="str">
        <f t="shared" si="4"/>
        <v>No Stat</v>
      </c>
      <c r="M404" s="55">
        <v>0.0</v>
      </c>
      <c r="N404" s="56" t="str">
        <f t="shared" si="5"/>
        <v>No Stat</v>
      </c>
      <c r="O404" s="57">
        <v>0.555</v>
      </c>
      <c r="P404" s="24">
        <v>26710.0</v>
      </c>
      <c r="Q404" s="24">
        <v>7804.0</v>
      </c>
      <c r="R404" s="24">
        <v>9887.0</v>
      </c>
      <c r="S404" s="24">
        <v>4.0</v>
      </c>
      <c r="T404" s="24">
        <v>77.0</v>
      </c>
      <c r="U404" s="24">
        <v>25.6827</v>
      </c>
      <c r="V404" s="24">
        <v>7.5038</v>
      </c>
      <c r="W404" s="24">
        <v>9.5067</v>
      </c>
      <c r="X404" s="24">
        <v>0.0038</v>
      </c>
      <c r="Y404" s="24">
        <v>0.074</v>
      </c>
      <c r="Z404" s="24">
        <v>118.1</v>
      </c>
      <c r="AA404" s="24">
        <v>24.2</v>
      </c>
      <c r="AB404" s="25"/>
      <c r="AC404" s="24">
        <v>73.3</v>
      </c>
      <c r="AD404" s="25"/>
      <c r="AE404" s="24">
        <v>1.0059</v>
      </c>
      <c r="AF404" s="24">
        <v>1.002729</v>
      </c>
      <c r="AG404" s="51" t="s">
        <v>108</v>
      </c>
      <c r="AH404" s="51" t="s">
        <v>108</v>
      </c>
      <c r="AI404" s="24">
        <v>1.11157</v>
      </c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</row>
    <row r="405">
      <c r="A405" s="51" t="s">
        <v>50</v>
      </c>
      <c r="B405" s="51" t="s">
        <v>104</v>
      </c>
      <c r="C405" s="24">
        <v>1962.0</v>
      </c>
      <c r="D405" s="24">
        <v>0.07596</v>
      </c>
      <c r="E405" s="52">
        <v>30.8</v>
      </c>
      <c r="F405" s="53">
        <f t="shared" si="1"/>
        <v>2.339568</v>
      </c>
      <c r="G405" s="52">
        <v>11.4</v>
      </c>
      <c r="H405" s="54">
        <f t="shared" si="2"/>
        <v>0.9746398887</v>
      </c>
      <c r="I405" s="52">
        <v>12.5</v>
      </c>
      <c r="J405" s="54">
        <f t="shared" si="3"/>
        <v>0.977426694</v>
      </c>
      <c r="K405" s="55">
        <v>0.0</v>
      </c>
      <c r="L405" s="54" t="str">
        <f t="shared" si="4"/>
        <v>No Stat</v>
      </c>
      <c r="M405" s="55">
        <v>0.0</v>
      </c>
      <c r="N405" s="56" t="str">
        <f t="shared" si="5"/>
        <v>No Stat</v>
      </c>
      <c r="O405" s="57">
        <v>0.554</v>
      </c>
      <c r="P405" s="24">
        <v>26710.0</v>
      </c>
      <c r="Q405" s="24">
        <v>7804.0</v>
      </c>
      <c r="R405" s="24">
        <v>9887.0</v>
      </c>
      <c r="S405" s="24">
        <v>4.0</v>
      </c>
      <c r="T405" s="24">
        <v>77.0</v>
      </c>
      <c r="U405" s="24">
        <v>25.6827</v>
      </c>
      <c r="V405" s="24">
        <v>7.5038</v>
      </c>
      <c r="W405" s="24">
        <v>9.5067</v>
      </c>
      <c r="X405" s="24">
        <v>0.0038</v>
      </c>
      <c r="Y405" s="24">
        <v>0.074</v>
      </c>
      <c r="Z405" s="24">
        <v>118.8</v>
      </c>
      <c r="AA405" s="24">
        <v>23.9</v>
      </c>
      <c r="AB405" s="25"/>
      <c r="AC405" s="24">
        <v>71.4</v>
      </c>
      <c r="AD405" s="25"/>
      <c r="AE405" s="24">
        <v>1.0</v>
      </c>
      <c r="AF405" s="24">
        <v>1.029412</v>
      </c>
      <c r="AG405" s="51" t="s">
        <v>108</v>
      </c>
      <c r="AH405" s="51" t="s">
        <v>108</v>
      </c>
      <c r="AI405" s="24">
        <v>1.125523</v>
      </c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</row>
    <row r="406">
      <c r="A406" s="51" t="s">
        <v>50</v>
      </c>
      <c r="B406" s="51" t="s">
        <v>104</v>
      </c>
      <c r="C406" s="24">
        <v>1963.0</v>
      </c>
      <c r="D406" s="24">
        <v>0.07692</v>
      </c>
      <c r="E406" s="52">
        <v>28.3</v>
      </c>
      <c r="F406" s="53">
        <f t="shared" si="1"/>
        <v>2.243011814</v>
      </c>
      <c r="G406" s="52">
        <v>9.5</v>
      </c>
      <c r="H406" s="54">
        <f t="shared" si="2"/>
        <v>0.8659429763</v>
      </c>
      <c r="I406" s="52">
        <v>10.4</v>
      </c>
      <c r="J406" s="54">
        <f t="shared" si="3"/>
        <v>0.8815239376</v>
      </c>
      <c r="K406" s="55">
        <v>0.0</v>
      </c>
      <c r="L406" s="54" t="str">
        <f t="shared" si="4"/>
        <v>No Stat</v>
      </c>
      <c r="M406" s="55">
        <v>0.0</v>
      </c>
      <c r="N406" s="56" t="str">
        <f t="shared" si="5"/>
        <v>No Stat</v>
      </c>
      <c r="O406" s="57">
        <v>0.588</v>
      </c>
      <c r="P406" s="24">
        <v>26710.0</v>
      </c>
      <c r="Q406" s="24">
        <v>7804.0</v>
      </c>
      <c r="R406" s="24">
        <v>9887.0</v>
      </c>
      <c r="S406" s="24">
        <v>4.0</v>
      </c>
      <c r="T406" s="24">
        <v>77.0</v>
      </c>
      <c r="U406" s="24">
        <v>25.6827</v>
      </c>
      <c r="V406" s="24">
        <v>7.5038</v>
      </c>
      <c r="W406" s="24">
        <v>9.5067</v>
      </c>
      <c r="X406" s="24">
        <v>0.0038</v>
      </c>
      <c r="Y406" s="24">
        <v>0.074</v>
      </c>
      <c r="Z406" s="24">
        <v>115.3</v>
      </c>
      <c r="AA406" s="24">
        <v>22.7</v>
      </c>
      <c r="AB406" s="25"/>
      <c r="AC406" s="24">
        <v>66.7</v>
      </c>
      <c r="AD406" s="25"/>
      <c r="AE406" s="24">
        <v>1.0304</v>
      </c>
      <c r="AF406" s="24">
        <v>1.101949</v>
      </c>
      <c r="AG406" s="51" t="s">
        <v>108</v>
      </c>
      <c r="AH406" s="51" t="s">
        <v>108</v>
      </c>
      <c r="AI406" s="24">
        <v>1.185022</v>
      </c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</row>
    <row r="407">
      <c r="A407" s="51" t="s">
        <v>50</v>
      </c>
      <c r="B407" s="51" t="s">
        <v>104</v>
      </c>
      <c r="C407" s="24">
        <v>1964.0</v>
      </c>
      <c r="D407" s="24">
        <v>0.07596</v>
      </c>
      <c r="E407" s="52">
        <v>31.4</v>
      </c>
      <c r="F407" s="53">
        <f t="shared" si="1"/>
        <v>2.552819623</v>
      </c>
      <c r="G407" s="52">
        <v>11.0</v>
      </c>
      <c r="H407" s="54">
        <f t="shared" si="2"/>
        <v>1.05030644</v>
      </c>
      <c r="I407" s="52">
        <v>9.9</v>
      </c>
      <c r="J407" s="54">
        <f t="shared" si="3"/>
        <v>0.8387296133</v>
      </c>
      <c r="K407" s="55">
        <v>0.0</v>
      </c>
      <c r="L407" s="54" t="str">
        <f t="shared" si="4"/>
        <v>No Stat</v>
      </c>
      <c r="M407" s="55">
        <v>0.0</v>
      </c>
      <c r="N407" s="56" t="str">
        <f t="shared" si="5"/>
        <v>No Stat</v>
      </c>
      <c r="O407" s="57">
        <v>0.576</v>
      </c>
      <c r="P407" s="24">
        <v>26710.0</v>
      </c>
      <c r="Q407" s="24">
        <v>7804.0</v>
      </c>
      <c r="R407" s="24">
        <v>9887.0</v>
      </c>
      <c r="S407" s="24">
        <v>4.0</v>
      </c>
      <c r="T407" s="24">
        <v>77.0</v>
      </c>
      <c r="U407" s="24">
        <v>25.6827</v>
      </c>
      <c r="V407" s="24">
        <v>7.5038</v>
      </c>
      <c r="W407" s="24">
        <v>9.5067</v>
      </c>
      <c r="X407" s="24">
        <v>0.0038</v>
      </c>
      <c r="Y407" s="24">
        <v>0.074</v>
      </c>
      <c r="Z407" s="24">
        <v>111.0</v>
      </c>
      <c r="AA407" s="24">
        <v>21.4</v>
      </c>
      <c r="AB407" s="25"/>
      <c r="AC407" s="24">
        <v>65.9</v>
      </c>
      <c r="AD407" s="25"/>
      <c r="AE407" s="24">
        <v>1.0703</v>
      </c>
      <c r="AF407" s="24">
        <v>1.115326</v>
      </c>
      <c r="AG407" s="51" t="s">
        <v>108</v>
      </c>
      <c r="AH407" s="51" t="s">
        <v>108</v>
      </c>
      <c r="AI407" s="24">
        <v>1.257009</v>
      </c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</row>
    <row r="408">
      <c r="A408" s="51" t="s">
        <v>50</v>
      </c>
      <c r="B408" s="51" t="s">
        <v>104</v>
      </c>
      <c r="C408" s="24">
        <v>1965.0</v>
      </c>
      <c r="D408" s="24">
        <v>0.07212</v>
      </c>
      <c r="E408" s="52">
        <v>30.4</v>
      </c>
      <c r="F408" s="53">
        <f t="shared" si="1"/>
        <v>2.354908397</v>
      </c>
      <c r="G408" s="52">
        <v>11.5</v>
      </c>
      <c r="H408" s="54">
        <f t="shared" si="2"/>
        <v>1.06239597</v>
      </c>
      <c r="I408" s="52">
        <v>9.0</v>
      </c>
      <c r="J408" s="54">
        <f t="shared" si="3"/>
        <v>0.708876495</v>
      </c>
      <c r="K408" s="55">
        <v>0.0</v>
      </c>
      <c r="L408" s="54" t="str">
        <f t="shared" si="4"/>
        <v>No Stat</v>
      </c>
      <c r="M408" s="55">
        <v>0.0</v>
      </c>
      <c r="N408" s="56" t="str">
        <f t="shared" si="5"/>
        <v>No Stat</v>
      </c>
      <c r="O408" s="57">
        <v>0.561</v>
      </c>
      <c r="P408" s="24">
        <v>26710.0</v>
      </c>
      <c r="Q408" s="24">
        <v>7804.0</v>
      </c>
      <c r="R408" s="24">
        <v>9887.0</v>
      </c>
      <c r="S408" s="24">
        <v>4.0</v>
      </c>
      <c r="T408" s="24">
        <v>77.0</v>
      </c>
      <c r="U408" s="24">
        <v>25.6827</v>
      </c>
      <c r="V408" s="24">
        <v>7.5038</v>
      </c>
      <c r="W408" s="24">
        <v>9.5067</v>
      </c>
      <c r="X408" s="24">
        <v>0.0038</v>
      </c>
      <c r="Y408" s="24">
        <v>0.074</v>
      </c>
      <c r="Z408" s="24">
        <v>110.6</v>
      </c>
      <c r="AA408" s="24">
        <v>21.0</v>
      </c>
      <c r="AB408" s="25"/>
      <c r="AC408" s="24">
        <v>67.3</v>
      </c>
      <c r="AD408" s="25"/>
      <c r="AE408" s="24">
        <v>1.0741</v>
      </c>
      <c r="AF408" s="24">
        <v>1.092125</v>
      </c>
      <c r="AG408" s="51" t="s">
        <v>108</v>
      </c>
      <c r="AH408" s="51" t="s">
        <v>108</v>
      </c>
      <c r="AI408" s="24">
        <v>1.280952</v>
      </c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8"/>
    </row>
    <row r="409">
      <c r="A409" s="51" t="s">
        <v>50</v>
      </c>
      <c r="B409" s="51" t="s">
        <v>104</v>
      </c>
      <c r="C409" s="24">
        <v>1966.0</v>
      </c>
      <c r="D409" s="24">
        <v>0.07308</v>
      </c>
      <c r="E409" s="52">
        <v>31.3</v>
      </c>
      <c r="F409" s="53">
        <f t="shared" si="1"/>
        <v>2.352823754</v>
      </c>
      <c r="G409" s="52">
        <v>11.1</v>
      </c>
      <c r="H409" s="54">
        <f t="shared" si="2"/>
        <v>0.9528798303</v>
      </c>
      <c r="I409" s="52">
        <v>7.7</v>
      </c>
      <c r="J409" s="54">
        <f t="shared" si="3"/>
        <v>0.6064463485</v>
      </c>
      <c r="K409" s="55">
        <v>0.0</v>
      </c>
      <c r="L409" s="54" t="str">
        <f t="shared" si="4"/>
        <v>No Stat</v>
      </c>
      <c r="M409" s="55">
        <v>0.0</v>
      </c>
      <c r="N409" s="56" t="str">
        <f t="shared" si="5"/>
        <v>No Stat</v>
      </c>
      <c r="O409" s="57">
        <v>0.563</v>
      </c>
      <c r="P409" s="24">
        <v>26710.0</v>
      </c>
      <c r="Q409" s="24">
        <v>7804.0</v>
      </c>
      <c r="R409" s="24">
        <v>9887.0</v>
      </c>
      <c r="S409" s="24">
        <v>4.0</v>
      </c>
      <c r="T409" s="24">
        <v>77.0</v>
      </c>
      <c r="U409" s="24">
        <v>25.6827</v>
      </c>
      <c r="V409" s="24">
        <v>7.5038</v>
      </c>
      <c r="W409" s="24">
        <v>9.5067</v>
      </c>
      <c r="X409" s="24">
        <v>0.0038</v>
      </c>
      <c r="Y409" s="24">
        <v>0.074</v>
      </c>
      <c r="Z409" s="24">
        <v>115.5</v>
      </c>
      <c r="AA409" s="24">
        <v>22.9</v>
      </c>
      <c r="AB409" s="25"/>
      <c r="AC409" s="24">
        <v>68.2</v>
      </c>
      <c r="AD409" s="25"/>
      <c r="AE409" s="24">
        <v>1.0286</v>
      </c>
      <c r="AF409" s="24">
        <v>1.077713</v>
      </c>
      <c r="AG409" s="51" t="s">
        <v>108</v>
      </c>
      <c r="AH409" s="51" t="s">
        <v>108</v>
      </c>
      <c r="AI409" s="24">
        <v>1.174672</v>
      </c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8"/>
    </row>
    <row r="410">
      <c r="A410" s="51" t="s">
        <v>50</v>
      </c>
      <c r="B410" s="51" t="s">
        <v>104</v>
      </c>
      <c r="C410" s="24">
        <v>1967.0</v>
      </c>
      <c r="D410" s="24">
        <v>0.07596</v>
      </c>
      <c r="E410" s="52">
        <v>30.5</v>
      </c>
      <c r="F410" s="53">
        <f t="shared" si="1"/>
        <v>2.344349682</v>
      </c>
      <c r="G410" s="52">
        <v>10.7</v>
      </c>
      <c r="H410" s="54">
        <f t="shared" si="2"/>
        <v>0.9760522054</v>
      </c>
      <c r="I410" s="52">
        <v>6.2</v>
      </c>
      <c r="J410" s="54">
        <f t="shared" si="3"/>
        <v>0.514338453</v>
      </c>
      <c r="K410" s="55">
        <v>0.0</v>
      </c>
      <c r="L410" s="54" t="str">
        <f t="shared" si="4"/>
        <v>No Stat</v>
      </c>
      <c r="M410" s="55">
        <v>0.0</v>
      </c>
      <c r="N410" s="56" t="str">
        <f t="shared" si="5"/>
        <v>No Stat</v>
      </c>
      <c r="O410" s="57">
        <v>0.583</v>
      </c>
      <c r="P410" s="24">
        <v>26710.0</v>
      </c>
      <c r="Q410" s="24">
        <v>7804.0</v>
      </c>
      <c r="R410" s="24">
        <v>9887.0</v>
      </c>
      <c r="S410" s="24">
        <v>4.0</v>
      </c>
      <c r="T410" s="24">
        <v>77.0</v>
      </c>
      <c r="U410" s="24">
        <v>25.6827</v>
      </c>
      <c r="V410" s="24">
        <v>7.5038</v>
      </c>
      <c r="W410" s="24">
        <v>9.5067</v>
      </c>
      <c r="X410" s="24">
        <v>0.0038</v>
      </c>
      <c r="Y410" s="24">
        <v>0.074</v>
      </c>
      <c r="Z410" s="24">
        <v>117.4</v>
      </c>
      <c r="AA410" s="24">
        <v>22.4</v>
      </c>
      <c r="AB410" s="25"/>
      <c r="AC410" s="24">
        <v>67.3</v>
      </c>
      <c r="AD410" s="25"/>
      <c r="AE410" s="24">
        <v>1.0119</v>
      </c>
      <c r="AF410" s="24">
        <v>1.092125</v>
      </c>
      <c r="AG410" s="51" t="s">
        <v>108</v>
      </c>
      <c r="AH410" s="51" t="s">
        <v>108</v>
      </c>
      <c r="AI410" s="24">
        <v>1.200893</v>
      </c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</row>
    <row r="411">
      <c r="A411" s="51" t="s">
        <v>50</v>
      </c>
      <c r="B411" s="51" t="s">
        <v>104</v>
      </c>
      <c r="C411" s="24">
        <v>1968.0</v>
      </c>
      <c r="D411" s="24">
        <v>0.0625</v>
      </c>
      <c r="E411" s="52">
        <v>29.2</v>
      </c>
      <c r="F411" s="53">
        <f t="shared" si="1"/>
        <v>1.8594925</v>
      </c>
      <c r="G411" s="52">
        <v>9.7</v>
      </c>
      <c r="H411" s="54">
        <f t="shared" si="2"/>
        <v>0.7152689063</v>
      </c>
      <c r="I411" s="52">
        <v>6.0</v>
      </c>
      <c r="J411" s="54">
        <f t="shared" si="3"/>
        <v>0.416352</v>
      </c>
      <c r="K411" s="55">
        <v>0.0</v>
      </c>
      <c r="L411" s="54" t="str">
        <f t="shared" si="4"/>
        <v>No Stat</v>
      </c>
      <c r="M411" s="55">
        <v>0.0</v>
      </c>
      <c r="N411" s="56" t="str">
        <f t="shared" si="5"/>
        <v>No Stat</v>
      </c>
      <c r="O411" s="57">
        <v>0.588</v>
      </c>
      <c r="P411" s="24">
        <v>26710.0</v>
      </c>
      <c r="Q411" s="24">
        <v>7804.0</v>
      </c>
      <c r="R411" s="24">
        <v>9887.0</v>
      </c>
      <c r="S411" s="24">
        <v>4.0</v>
      </c>
      <c r="T411" s="24">
        <v>77.0</v>
      </c>
      <c r="U411" s="24">
        <v>25.6827</v>
      </c>
      <c r="V411" s="24">
        <v>7.5038</v>
      </c>
      <c r="W411" s="24">
        <v>9.5067</v>
      </c>
      <c r="X411" s="24">
        <v>0.0038</v>
      </c>
      <c r="Y411" s="24">
        <v>0.074</v>
      </c>
      <c r="Z411" s="24">
        <v>116.6</v>
      </c>
      <c r="AA411" s="24">
        <v>22.8</v>
      </c>
      <c r="AB411" s="25"/>
      <c r="AC411" s="24">
        <v>66.2</v>
      </c>
      <c r="AD411" s="25"/>
      <c r="AE411" s="24">
        <v>1.0189</v>
      </c>
      <c r="AF411" s="24">
        <v>1.110272</v>
      </c>
      <c r="AG411" s="51" t="s">
        <v>108</v>
      </c>
      <c r="AH411" s="51" t="s">
        <v>108</v>
      </c>
      <c r="AI411" s="24">
        <v>1.179825</v>
      </c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8"/>
    </row>
    <row r="412">
      <c r="A412" s="51" t="s">
        <v>50</v>
      </c>
      <c r="B412" s="51" t="s">
        <v>104</v>
      </c>
      <c r="C412" s="24">
        <v>1969.0</v>
      </c>
      <c r="D412" s="24">
        <v>0.07596</v>
      </c>
      <c r="E412" s="52">
        <v>24.7</v>
      </c>
      <c r="F412" s="53">
        <f t="shared" si="1"/>
        <v>1.984844675</v>
      </c>
      <c r="G412" s="52">
        <v>9.8</v>
      </c>
      <c r="H412" s="54">
        <f t="shared" si="2"/>
        <v>0.8668646048</v>
      </c>
      <c r="I412" s="52">
        <v>6.4</v>
      </c>
      <c r="J412" s="54">
        <f t="shared" si="3"/>
        <v>0.6279716506</v>
      </c>
      <c r="K412" s="55">
        <v>0.0</v>
      </c>
      <c r="L412" s="54" t="str">
        <f t="shared" si="4"/>
        <v>No Stat</v>
      </c>
      <c r="M412" s="55">
        <v>0.0</v>
      </c>
      <c r="N412" s="56" t="str">
        <f t="shared" si="5"/>
        <v>No Stat</v>
      </c>
      <c r="O412" s="57">
        <v>0.579</v>
      </c>
      <c r="P412" s="24">
        <v>26710.0</v>
      </c>
      <c r="Q412" s="24">
        <v>7804.0</v>
      </c>
      <c r="R412" s="24">
        <v>9887.0</v>
      </c>
      <c r="S412" s="24">
        <v>4.0</v>
      </c>
      <c r="T412" s="24">
        <v>77.0</v>
      </c>
      <c r="U412" s="24">
        <v>25.6827</v>
      </c>
      <c r="V412" s="24">
        <v>7.5038</v>
      </c>
      <c r="W412" s="24">
        <v>9.5067</v>
      </c>
      <c r="X412" s="24">
        <v>0.0038</v>
      </c>
      <c r="Y412" s="24">
        <v>0.074</v>
      </c>
      <c r="Z412" s="24">
        <v>112.3</v>
      </c>
      <c r="AA412" s="24">
        <v>23.1</v>
      </c>
      <c r="AB412" s="25"/>
      <c r="AC412" s="24">
        <v>56.9</v>
      </c>
      <c r="AD412" s="25"/>
      <c r="AE412" s="24">
        <v>1.0579</v>
      </c>
      <c r="AF412" s="24">
        <v>1.29174</v>
      </c>
      <c r="AG412" s="51" t="s">
        <v>108</v>
      </c>
      <c r="AH412" s="51" t="s">
        <v>108</v>
      </c>
      <c r="AI412" s="24">
        <v>1.164502</v>
      </c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</row>
    <row r="413">
      <c r="A413" s="51" t="s">
        <v>50</v>
      </c>
      <c r="B413" s="51" t="s">
        <v>104</v>
      </c>
      <c r="C413" s="24">
        <v>1970.0</v>
      </c>
      <c r="D413" s="24">
        <v>0.06635</v>
      </c>
      <c r="E413" s="52">
        <v>25.3</v>
      </c>
      <c r="F413" s="53">
        <f t="shared" si="1"/>
        <v>1.70887079</v>
      </c>
      <c r="G413" s="52">
        <v>8.1</v>
      </c>
      <c r="H413" s="54">
        <f t="shared" si="2"/>
        <v>0.585303798</v>
      </c>
      <c r="I413" s="52">
        <v>6.1</v>
      </c>
      <c r="J413" s="54">
        <f t="shared" si="3"/>
        <v>0.5623444753</v>
      </c>
      <c r="K413" s="55">
        <v>0.0</v>
      </c>
      <c r="L413" s="54" t="str">
        <f t="shared" si="4"/>
        <v>No Stat</v>
      </c>
      <c r="M413" s="55">
        <v>0.0</v>
      </c>
      <c r="N413" s="56" t="str">
        <f t="shared" si="5"/>
        <v>No Stat</v>
      </c>
      <c r="O413" s="57">
        <v>0.577</v>
      </c>
      <c r="P413" s="24">
        <v>26710.0</v>
      </c>
      <c r="Q413" s="24">
        <v>7804.0</v>
      </c>
      <c r="R413" s="24">
        <v>9887.0</v>
      </c>
      <c r="S413" s="24">
        <v>4.0</v>
      </c>
      <c r="T413" s="24">
        <v>77.0</v>
      </c>
      <c r="U413" s="24">
        <v>25.6827</v>
      </c>
      <c r="V413" s="24">
        <v>7.5038</v>
      </c>
      <c r="W413" s="24">
        <v>9.5067</v>
      </c>
      <c r="X413" s="24">
        <v>0.0038</v>
      </c>
      <c r="Y413" s="24">
        <v>0.074</v>
      </c>
      <c r="Z413" s="24">
        <v>116.7</v>
      </c>
      <c r="AA413" s="24">
        <v>24.7</v>
      </c>
      <c r="AB413" s="25"/>
      <c r="AC413" s="24">
        <v>52.9</v>
      </c>
      <c r="AD413" s="25"/>
      <c r="AE413" s="24">
        <v>1.018</v>
      </c>
      <c r="AF413" s="24">
        <v>1.389414</v>
      </c>
      <c r="AG413" s="51" t="s">
        <v>108</v>
      </c>
      <c r="AH413" s="51" t="s">
        <v>108</v>
      </c>
      <c r="AI413" s="24">
        <v>1.089069</v>
      </c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8"/>
    </row>
    <row r="414">
      <c r="A414" s="51" t="s">
        <v>50</v>
      </c>
      <c r="B414" s="51" t="s">
        <v>104</v>
      </c>
      <c r="C414" s="24">
        <v>1971.0</v>
      </c>
      <c r="D414" s="24">
        <v>0.07788</v>
      </c>
      <c r="E414" s="52">
        <v>19.4</v>
      </c>
      <c r="F414" s="53">
        <f t="shared" si="1"/>
        <v>1.596840617</v>
      </c>
      <c r="G414" s="52">
        <v>8.2</v>
      </c>
      <c r="H414" s="54">
        <f t="shared" si="2"/>
        <v>0.7069453575</v>
      </c>
      <c r="I414" s="52">
        <v>5.7</v>
      </c>
      <c r="J414" s="54">
        <f t="shared" si="3"/>
        <v>0.6144600928</v>
      </c>
      <c r="K414" s="55">
        <v>0.0</v>
      </c>
      <c r="L414" s="54" t="str">
        <f t="shared" si="4"/>
        <v>No Stat</v>
      </c>
      <c r="M414" s="55">
        <v>0.0</v>
      </c>
      <c r="N414" s="56" t="str">
        <f t="shared" si="5"/>
        <v>No Stat</v>
      </c>
      <c r="O414" s="57">
        <v>0.563</v>
      </c>
      <c r="P414" s="24">
        <v>26710.0</v>
      </c>
      <c r="Q414" s="24">
        <v>7804.0</v>
      </c>
      <c r="R414" s="24">
        <v>9887.0</v>
      </c>
      <c r="S414" s="24">
        <v>4.0</v>
      </c>
      <c r="T414" s="24">
        <v>77.0</v>
      </c>
      <c r="U414" s="24">
        <v>25.6827</v>
      </c>
      <c r="V414" s="24">
        <v>7.5038</v>
      </c>
      <c r="W414" s="24">
        <v>9.5067</v>
      </c>
      <c r="X414" s="24">
        <v>0.0038</v>
      </c>
      <c r="Y414" s="24">
        <v>0.074</v>
      </c>
      <c r="Z414" s="24">
        <v>112.4</v>
      </c>
      <c r="AA414" s="24">
        <v>24.3</v>
      </c>
      <c r="AB414" s="25"/>
      <c r="AC414" s="24">
        <v>53.1</v>
      </c>
      <c r="AD414" s="25"/>
      <c r="AE414" s="24">
        <v>1.0569</v>
      </c>
      <c r="AF414" s="24">
        <v>1.384181</v>
      </c>
      <c r="AG414" s="51" t="s">
        <v>108</v>
      </c>
      <c r="AH414" s="51" t="s">
        <v>108</v>
      </c>
      <c r="AI414" s="24">
        <v>1.106996</v>
      </c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8"/>
    </row>
    <row r="415">
      <c r="A415" s="51" t="s">
        <v>50</v>
      </c>
      <c r="B415" s="51" t="s">
        <v>104</v>
      </c>
      <c r="C415" s="24">
        <v>1972.0</v>
      </c>
      <c r="D415" s="24">
        <v>0.06154</v>
      </c>
      <c r="E415" s="52">
        <v>17.4</v>
      </c>
      <c r="F415" s="53">
        <f t="shared" si="1"/>
        <v>1.154318088</v>
      </c>
      <c r="G415" s="52">
        <v>7.7</v>
      </c>
      <c r="H415" s="54">
        <f t="shared" si="2"/>
        <v>0.528912244</v>
      </c>
      <c r="I415" s="52">
        <v>5.0</v>
      </c>
      <c r="J415" s="54">
        <f t="shared" si="3"/>
        <v>0.4425821412</v>
      </c>
      <c r="K415" s="55">
        <v>0.0</v>
      </c>
      <c r="L415" s="54" t="str">
        <f t="shared" si="4"/>
        <v>No Stat</v>
      </c>
      <c r="M415" s="55">
        <v>0.0</v>
      </c>
      <c r="N415" s="56" t="str">
        <f t="shared" si="5"/>
        <v>No Stat</v>
      </c>
      <c r="O415" s="57">
        <v>0.54</v>
      </c>
      <c r="P415" s="24">
        <v>26710.0</v>
      </c>
      <c r="Q415" s="24">
        <v>7804.0</v>
      </c>
      <c r="R415" s="24">
        <v>9887.0</v>
      </c>
      <c r="S415" s="24">
        <v>4.0</v>
      </c>
      <c r="T415" s="24">
        <v>77.0</v>
      </c>
      <c r="U415" s="24">
        <v>25.6827</v>
      </c>
      <c r="V415" s="24">
        <v>7.5038</v>
      </c>
      <c r="W415" s="24">
        <v>9.5067</v>
      </c>
      <c r="X415" s="24">
        <v>0.0038</v>
      </c>
      <c r="Y415" s="24">
        <v>0.074</v>
      </c>
      <c r="Z415" s="24">
        <v>110.2</v>
      </c>
      <c r="AA415" s="24">
        <v>24.1</v>
      </c>
      <c r="AB415" s="25"/>
      <c r="AC415" s="24">
        <v>51.1</v>
      </c>
      <c r="AD415" s="25"/>
      <c r="AE415" s="24">
        <v>1.078</v>
      </c>
      <c r="AF415" s="24">
        <v>1.438356</v>
      </c>
      <c r="AG415" s="51" t="s">
        <v>108</v>
      </c>
      <c r="AH415" s="51" t="s">
        <v>108</v>
      </c>
      <c r="AI415" s="24">
        <v>1.116183</v>
      </c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8"/>
    </row>
    <row r="416">
      <c r="A416" s="51" t="s">
        <v>50</v>
      </c>
      <c r="B416" s="51" t="s">
        <v>104</v>
      </c>
      <c r="C416" s="24">
        <v>1973.0</v>
      </c>
      <c r="D416" s="24">
        <v>0.07019</v>
      </c>
      <c r="E416" s="52">
        <v>15.5</v>
      </c>
      <c r="F416" s="53">
        <f t="shared" si="1"/>
        <v>1.201200075</v>
      </c>
      <c r="G416" s="52">
        <v>7.5</v>
      </c>
      <c r="H416" s="54">
        <f t="shared" si="2"/>
        <v>0.5619376305</v>
      </c>
      <c r="I416" s="52">
        <v>4.9</v>
      </c>
      <c r="J416" s="54">
        <f t="shared" si="3"/>
        <v>0.4995835087</v>
      </c>
      <c r="K416" s="55">
        <v>0.0</v>
      </c>
      <c r="L416" s="54" t="str">
        <f t="shared" si="4"/>
        <v>No Stat</v>
      </c>
      <c r="M416" s="55">
        <v>0.0</v>
      </c>
      <c r="N416" s="56" t="str">
        <f t="shared" si="5"/>
        <v>No Stat</v>
      </c>
      <c r="O416" s="57">
        <v>0.511</v>
      </c>
      <c r="P416" s="24">
        <v>26710.0</v>
      </c>
      <c r="Q416" s="24">
        <v>7804.0</v>
      </c>
      <c r="R416" s="24">
        <v>9887.0</v>
      </c>
      <c r="S416" s="24">
        <v>4.0</v>
      </c>
      <c r="T416" s="24">
        <v>77.0</v>
      </c>
      <c r="U416" s="24">
        <v>25.6827</v>
      </c>
      <c r="V416" s="24">
        <v>7.5038</v>
      </c>
      <c r="W416" s="24">
        <v>9.5067</v>
      </c>
      <c r="X416" s="24">
        <v>0.0038</v>
      </c>
      <c r="Y416" s="24">
        <v>0.074</v>
      </c>
      <c r="Z416" s="24">
        <v>107.6</v>
      </c>
      <c r="AA416" s="24">
        <v>25.2</v>
      </c>
      <c r="AB416" s="25"/>
      <c r="AC416" s="24">
        <v>50.6</v>
      </c>
      <c r="AD416" s="25"/>
      <c r="AE416" s="24">
        <v>1.1041</v>
      </c>
      <c r="AF416" s="24">
        <v>1.452569</v>
      </c>
      <c r="AG416" s="51" t="s">
        <v>108</v>
      </c>
      <c r="AH416" s="51" t="s">
        <v>108</v>
      </c>
      <c r="AI416" s="24">
        <v>1.06746</v>
      </c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</row>
    <row r="417">
      <c r="A417" s="51" t="s">
        <v>50</v>
      </c>
      <c r="B417" s="51" t="s">
        <v>104</v>
      </c>
      <c r="C417" s="24">
        <v>1974.0</v>
      </c>
      <c r="D417" s="24">
        <v>0.06731</v>
      </c>
      <c r="E417" s="52">
        <v>12.7</v>
      </c>
      <c r="F417" s="53">
        <f t="shared" si="1"/>
        <v>0.9607513043</v>
      </c>
      <c r="G417" s="52">
        <v>6.4</v>
      </c>
      <c r="H417" s="54">
        <f t="shared" si="2"/>
        <v>0.4710605809</v>
      </c>
      <c r="I417" s="52">
        <v>4.0</v>
      </c>
      <c r="J417" s="54">
        <f t="shared" si="3"/>
        <v>0.410562999</v>
      </c>
      <c r="K417" s="55">
        <v>1.65</v>
      </c>
      <c r="L417" s="54">
        <f t="shared" si="4"/>
        <v>0.1225505901</v>
      </c>
      <c r="M417" s="55">
        <v>0.085714286</v>
      </c>
      <c r="N417" s="56">
        <f t="shared" si="5"/>
        <v>0.006874210702</v>
      </c>
      <c r="O417" s="57">
        <v>0.502</v>
      </c>
      <c r="P417" s="24">
        <v>26710.0</v>
      </c>
      <c r="Q417" s="24">
        <v>7804.0</v>
      </c>
      <c r="R417" s="24">
        <v>9887.0</v>
      </c>
      <c r="S417" s="24">
        <v>4.0</v>
      </c>
      <c r="T417" s="24">
        <v>77.0</v>
      </c>
      <c r="U417" s="24">
        <v>25.6827</v>
      </c>
      <c r="V417" s="24">
        <v>7.5038</v>
      </c>
      <c r="W417" s="24">
        <v>9.5067</v>
      </c>
      <c r="X417" s="24">
        <v>0.0038</v>
      </c>
      <c r="Y417" s="24">
        <v>0.074</v>
      </c>
      <c r="Z417" s="24">
        <v>105.7</v>
      </c>
      <c r="AA417" s="24">
        <v>24.6</v>
      </c>
      <c r="AB417" s="24">
        <v>4.7</v>
      </c>
      <c r="AC417" s="24">
        <v>48.2</v>
      </c>
      <c r="AD417" s="24">
        <v>8.7</v>
      </c>
      <c r="AE417" s="24">
        <v>1.1239</v>
      </c>
      <c r="AF417" s="24">
        <v>1.524896</v>
      </c>
      <c r="AG417" s="24">
        <v>1.103448</v>
      </c>
      <c r="AH417" s="24">
        <v>1.191489</v>
      </c>
      <c r="AI417" s="24">
        <v>1.093496</v>
      </c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8"/>
    </row>
    <row r="418">
      <c r="A418" s="51" t="s">
        <v>46</v>
      </c>
      <c r="B418" s="51" t="s">
        <v>107</v>
      </c>
      <c r="C418" s="24">
        <v>1993.0</v>
      </c>
      <c r="D418" s="24">
        <v>0.06388</v>
      </c>
      <c r="E418" s="52">
        <v>23.4</v>
      </c>
      <c r="F418" s="53">
        <f t="shared" si="1"/>
        <v>1.686424334</v>
      </c>
      <c r="G418" s="52">
        <v>1.9</v>
      </c>
      <c r="H418" s="54">
        <f t="shared" si="2"/>
        <v>0.1321824827</v>
      </c>
      <c r="I418" s="52">
        <v>13.9</v>
      </c>
      <c r="J418" s="54">
        <f t="shared" si="3"/>
        <v>1.514222405</v>
      </c>
      <c r="K418" s="55">
        <v>1.111111111</v>
      </c>
      <c r="L418" s="54">
        <f t="shared" si="4"/>
        <v>0.07923100279</v>
      </c>
      <c r="M418" s="55">
        <v>5.296296296</v>
      </c>
      <c r="N418" s="56">
        <f t="shared" si="5"/>
        <v>0.3643525665</v>
      </c>
      <c r="O418" s="57">
        <v>0.584</v>
      </c>
      <c r="P418" s="24">
        <v>29428.0</v>
      </c>
      <c r="Q418" s="24">
        <v>13653.0</v>
      </c>
      <c r="R418" s="24">
        <v>3119.0</v>
      </c>
      <c r="S418" s="24">
        <v>2820.0</v>
      </c>
      <c r="T418" s="24">
        <v>771.0</v>
      </c>
      <c r="U418" s="24">
        <v>23.2082</v>
      </c>
      <c r="V418" s="24">
        <v>10.7674</v>
      </c>
      <c r="W418" s="24">
        <v>2.4598</v>
      </c>
      <c r="X418" s="24">
        <v>2.224</v>
      </c>
      <c r="Y418" s="24">
        <v>0.608</v>
      </c>
      <c r="Z418" s="24">
        <v>105.3</v>
      </c>
      <c r="AA418" s="24">
        <v>24.7</v>
      </c>
      <c r="AB418" s="24">
        <v>5.2</v>
      </c>
      <c r="AC418" s="24">
        <v>43.1</v>
      </c>
      <c r="AD418" s="24">
        <v>8.6</v>
      </c>
      <c r="AE418" s="24">
        <v>1.1282</v>
      </c>
      <c r="AF418" s="24">
        <v>1.705336</v>
      </c>
      <c r="AG418" s="24">
        <v>1.116279</v>
      </c>
      <c r="AH418" s="24">
        <v>1.076923</v>
      </c>
      <c r="AI418" s="24">
        <v>1.089069</v>
      </c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8"/>
    </row>
    <row r="419">
      <c r="A419" s="51" t="s">
        <v>46</v>
      </c>
      <c r="B419" s="51" t="s">
        <v>107</v>
      </c>
      <c r="C419" s="24">
        <v>1994.0</v>
      </c>
      <c r="D419" s="24">
        <v>0.06388</v>
      </c>
      <c r="E419" s="52">
        <v>29.3</v>
      </c>
      <c r="F419" s="53">
        <f t="shared" si="1"/>
        <v>2.190618954</v>
      </c>
      <c r="G419" s="52">
        <v>2.4</v>
      </c>
      <c r="H419" s="54">
        <f t="shared" si="2"/>
        <v>0.1690201942</v>
      </c>
      <c r="I419" s="52">
        <v>13.2</v>
      </c>
      <c r="J419" s="54">
        <f t="shared" si="3"/>
        <v>1.441310795</v>
      </c>
      <c r="K419" s="55">
        <v>1.407407407</v>
      </c>
      <c r="L419" s="54">
        <f t="shared" si="4"/>
        <v>0.09697640778</v>
      </c>
      <c r="M419" s="55">
        <v>4.277777778</v>
      </c>
      <c r="N419" s="56">
        <f t="shared" si="5"/>
        <v>0.2942847653</v>
      </c>
      <c r="O419" s="57">
        <v>0.605</v>
      </c>
      <c r="P419" s="24">
        <v>29428.0</v>
      </c>
      <c r="Q419" s="24">
        <v>13653.0</v>
      </c>
      <c r="R419" s="24">
        <v>3119.0</v>
      </c>
      <c r="S419" s="24">
        <v>2820.0</v>
      </c>
      <c r="T419" s="24">
        <v>771.0</v>
      </c>
      <c r="U419" s="24">
        <v>23.2082</v>
      </c>
      <c r="V419" s="24">
        <v>10.7674</v>
      </c>
      <c r="W419" s="24">
        <v>2.4598</v>
      </c>
      <c r="X419" s="24">
        <v>2.224</v>
      </c>
      <c r="Y419" s="24">
        <v>0.608</v>
      </c>
      <c r="Z419" s="24">
        <v>101.5</v>
      </c>
      <c r="AA419" s="24">
        <v>24.4</v>
      </c>
      <c r="AB419" s="24">
        <v>5.2</v>
      </c>
      <c r="AC419" s="24">
        <v>43.0</v>
      </c>
      <c r="AD419" s="24">
        <v>8.9</v>
      </c>
      <c r="AE419" s="24">
        <v>1.1704</v>
      </c>
      <c r="AF419" s="24">
        <v>1.709302</v>
      </c>
      <c r="AG419" s="24">
        <v>1.078652</v>
      </c>
      <c r="AH419" s="24">
        <v>1.076923</v>
      </c>
      <c r="AI419" s="24">
        <v>1.102459</v>
      </c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8"/>
    </row>
    <row r="420">
      <c r="A420" s="51" t="s">
        <v>46</v>
      </c>
      <c r="B420" s="51" t="s">
        <v>107</v>
      </c>
      <c r="C420" s="24">
        <v>1995.0</v>
      </c>
      <c r="D420" s="24">
        <v>0.0623</v>
      </c>
      <c r="E420" s="52">
        <v>29.3</v>
      </c>
      <c r="F420" s="53">
        <f t="shared" si="1"/>
        <v>2.138626924</v>
      </c>
      <c r="G420" s="52">
        <v>2.7</v>
      </c>
      <c r="H420" s="54">
        <f t="shared" si="2"/>
        <v>0.1933696743</v>
      </c>
      <c r="I420" s="52">
        <v>11.4</v>
      </c>
      <c r="J420" s="54">
        <f t="shared" si="3"/>
        <v>1.254835872</v>
      </c>
      <c r="K420" s="55">
        <v>1.386075949</v>
      </c>
      <c r="L420" s="54">
        <f t="shared" si="4"/>
        <v>0.09987766959</v>
      </c>
      <c r="M420" s="55">
        <v>3.64556962</v>
      </c>
      <c r="N420" s="56">
        <f t="shared" si="5"/>
        <v>0.2445896612</v>
      </c>
      <c r="O420" s="57">
        <v>0.588</v>
      </c>
      <c r="P420" s="24">
        <v>29428.0</v>
      </c>
      <c r="Q420" s="24">
        <v>13653.0</v>
      </c>
      <c r="R420" s="24">
        <v>3119.0</v>
      </c>
      <c r="S420" s="24">
        <v>2820.0</v>
      </c>
      <c r="T420" s="24">
        <v>771.0</v>
      </c>
      <c r="U420" s="24">
        <v>23.2082</v>
      </c>
      <c r="V420" s="24">
        <v>10.7674</v>
      </c>
      <c r="W420" s="24">
        <v>2.4598</v>
      </c>
      <c r="X420" s="24">
        <v>2.224</v>
      </c>
      <c r="Y420" s="24">
        <v>0.608</v>
      </c>
      <c r="Z420" s="24">
        <v>101.4</v>
      </c>
      <c r="AA420" s="24">
        <v>23.4</v>
      </c>
      <c r="AB420" s="24">
        <v>5.2</v>
      </c>
      <c r="AC420" s="24">
        <v>41.6</v>
      </c>
      <c r="AD420" s="24">
        <v>8.3</v>
      </c>
      <c r="AE420" s="24">
        <v>1.1716</v>
      </c>
      <c r="AF420" s="24">
        <v>1.766827</v>
      </c>
      <c r="AG420" s="24">
        <v>1.156627</v>
      </c>
      <c r="AH420" s="24">
        <v>1.076923</v>
      </c>
      <c r="AI420" s="24">
        <v>1.149573</v>
      </c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</row>
    <row r="421">
      <c r="A421" s="51" t="s">
        <v>46</v>
      </c>
      <c r="B421" s="51" t="s">
        <v>107</v>
      </c>
      <c r="C421" s="24">
        <v>1996.0</v>
      </c>
      <c r="D421" s="24">
        <v>0.04259</v>
      </c>
      <c r="E421" s="52">
        <v>26.6</v>
      </c>
      <c r="F421" s="53">
        <f t="shared" si="1"/>
        <v>1.352675436</v>
      </c>
      <c r="G421" s="52">
        <v>2.9</v>
      </c>
      <c r="H421" s="54">
        <f t="shared" si="2"/>
        <v>0.1463632522</v>
      </c>
      <c r="I421" s="52">
        <v>11.0</v>
      </c>
      <c r="J421" s="54">
        <f t="shared" si="3"/>
        <v>0.8337533819</v>
      </c>
      <c r="K421" s="55">
        <v>0.944444444</v>
      </c>
      <c r="L421" s="54">
        <f t="shared" si="4"/>
        <v>0.04826866664</v>
      </c>
      <c r="M421" s="55">
        <v>3.194444444</v>
      </c>
      <c r="N421" s="56">
        <f t="shared" si="5"/>
        <v>0.149389731</v>
      </c>
      <c r="O421" s="57">
        <v>0.57</v>
      </c>
      <c r="P421" s="24">
        <v>29428.0</v>
      </c>
      <c r="Q421" s="24">
        <v>13653.0</v>
      </c>
      <c r="R421" s="24">
        <v>3119.0</v>
      </c>
      <c r="S421" s="24">
        <v>2820.0</v>
      </c>
      <c r="T421" s="24">
        <v>771.0</v>
      </c>
      <c r="U421" s="24">
        <v>23.2082</v>
      </c>
      <c r="V421" s="24">
        <v>10.7674</v>
      </c>
      <c r="W421" s="24">
        <v>2.4598</v>
      </c>
      <c r="X421" s="24">
        <v>2.224</v>
      </c>
      <c r="Y421" s="24">
        <v>0.608</v>
      </c>
      <c r="Z421" s="24">
        <v>99.5</v>
      </c>
      <c r="AA421" s="24">
        <v>22.7</v>
      </c>
      <c r="AB421" s="24">
        <v>5.1</v>
      </c>
      <c r="AC421" s="24">
        <v>41.3</v>
      </c>
      <c r="AD421" s="24">
        <v>8.0</v>
      </c>
      <c r="AE421" s="24">
        <v>1.194</v>
      </c>
      <c r="AF421" s="24">
        <v>1.779661</v>
      </c>
      <c r="AG421" s="24">
        <v>1.2</v>
      </c>
      <c r="AH421" s="24">
        <v>1.098039</v>
      </c>
      <c r="AI421" s="24">
        <v>1.185022</v>
      </c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8"/>
    </row>
    <row r="422">
      <c r="A422" s="51" t="s">
        <v>46</v>
      </c>
      <c r="B422" s="51" t="s">
        <v>107</v>
      </c>
      <c r="C422" s="24">
        <v>1997.0</v>
      </c>
      <c r="D422" s="24">
        <v>0.04022</v>
      </c>
      <c r="E422" s="52">
        <v>26.2</v>
      </c>
      <c r="F422" s="53">
        <f t="shared" si="1"/>
        <v>1.291914664</v>
      </c>
      <c r="G422" s="52">
        <v>3.1</v>
      </c>
      <c r="H422" s="54">
        <f t="shared" si="2"/>
        <v>0.1524520478</v>
      </c>
      <c r="I422" s="52">
        <v>12.5</v>
      </c>
      <c r="J422" s="54">
        <f t="shared" si="3"/>
        <v>0.8990783828</v>
      </c>
      <c r="K422" s="55">
        <v>1.352941176</v>
      </c>
      <c r="L422" s="54">
        <f t="shared" si="4"/>
        <v>0.06370572609</v>
      </c>
      <c r="M422" s="55">
        <v>4.323529412</v>
      </c>
      <c r="N422" s="56">
        <f t="shared" si="5"/>
        <v>0.1987340928</v>
      </c>
      <c r="O422" s="57">
        <v>0.556</v>
      </c>
      <c r="P422" s="24">
        <v>29428.0</v>
      </c>
      <c r="Q422" s="24">
        <v>13653.0</v>
      </c>
      <c r="R422" s="24">
        <v>3119.0</v>
      </c>
      <c r="S422" s="24">
        <v>2820.0</v>
      </c>
      <c r="T422" s="24">
        <v>771.0</v>
      </c>
      <c r="U422" s="24">
        <v>23.2082</v>
      </c>
      <c r="V422" s="24">
        <v>10.7674</v>
      </c>
      <c r="W422" s="24">
        <v>2.4598</v>
      </c>
      <c r="X422" s="24">
        <v>2.224</v>
      </c>
      <c r="Y422" s="24">
        <v>0.608</v>
      </c>
      <c r="Z422" s="24">
        <v>96.9</v>
      </c>
      <c r="AA422" s="24">
        <v>22.0</v>
      </c>
      <c r="AB422" s="24">
        <v>4.9</v>
      </c>
      <c r="AC422" s="24">
        <v>41.1</v>
      </c>
      <c r="AD422" s="24">
        <v>8.2</v>
      </c>
      <c r="AE422" s="24">
        <v>1.226</v>
      </c>
      <c r="AF422" s="24">
        <v>1.788321</v>
      </c>
      <c r="AG422" s="24">
        <v>1.170732</v>
      </c>
      <c r="AH422" s="24">
        <v>1.142857</v>
      </c>
      <c r="AI422" s="24">
        <v>1.222727</v>
      </c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</row>
    <row r="423">
      <c r="A423" s="51" t="s">
        <v>46</v>
      </c>
      <c r="B423" s="51" t="s">
        <v>107</v>
      </c>
      <c r="C423" s="24">
        <v>1998.0</v>
      </c>
      <c r="D423" s="24">
        <v>0.04732</v>
      </c>
      <c r="E423" s="52">
        <v>28.3</v>
      </c>
      <c r="F423" s="53">
        <f t="shared" si="1"/>
        <v>1.664169161</v>
      </c>
      <c r="G423" s="52">
        <v>2.4</v>
      </c>
      <c r="H423" s="54">
        <f t="shared" si="2"/>
        <v>0.1388626599</v>
      </c>
      <c r="I423" s="52">
        <v>11.4</v>
      </c>
      <c r="J423" s="54">
        <f t="shared" si="3"/>
        <v>0.9554077216</v>
      </c>
      <c r="K423" s="55">
        <v>0.975</v>
      </c>
      <c r="L423" s="54">
        <f t="shared" si="4"/>
        <v>0.05272799341</v>
      </c>
      <c r="M423" s="55">
        <v>3.6</v>
      </c>
      <c r="N423" s="56">
        <f t="shared" si="5"/>
        <v>0.1870531397</v>
      </c>
      <c r="O423" s="57">
        <v>0.587</v>
      </c>
      <c r="P423" s="24">
        <v>29428.0</v>
      </c>
      <c r="Q423" s="24">
        <v>13653.0</v>
      </c>
      <c r="R423" s="24">
        <v>3119.0</v>
      </c>
      <c r="S423" s="24">
        <v>2820.0</v>
      </c>
      <c r="T423" s="24">
        <v>771.0</v>
      </c>
      <c r="U423" s="24">
        <v>23.2082</v>
      </c>
      <c r="V423" s="24">
        <v>10.7674</v>
      </c>
      <c r="W423" s="24">
        <v>2.4598</v>
      </c>
      <c r="X423" s="24">
        <v>2.224</v>
      </c>
      <c r="Y423" s="24">
        <v>0.608</v>
      </c>
      <c r="Z423" s="24">
        <v>95.6</v>
      </c>
      <c r="AA423" s="24">
        <v>22.0</v>
      </c>
      <c r="AB423" s="24">
        <v>5.1</v>
      </c>
      <c r="AC423" s="24">
        <v>41.5</v>
      </c>
      <c r="AD423" s="24">
        <v>8.4</v>
      </c>
      <c r="AE423" s="24">
        <v>1.2427</v>
      </c>
      <c r="AF423" s="24">
        <v>1.771084</v>
      </c>
      <c r="AG423" s="24">
        <v>1.142857</v>
      </c>
      <c r="AH423" s="24">
        <v>1.098039</v>
      </c>
      <c r="AI423" s="24">
        <v>1.222727</v>
      </c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8"/>
    </row>
    <row r="424">
      <c r="A424" s="51" t="s">
        <v>46</v>
      </c>
      <c r="B424" s="51" t="s">
        <v>107</v>
      </c>
      <c r="C424" s="24">
        <v>1999.0</v>
      </c>
      <c r="D424" s="24">
        <v>0.03864</v>
      </c>
      <c r="E424" s="52">
        <v>26.3</v>
      </c>
      <c r="F424" s="53">
        <f t="shared" si="1"/>
        <v>1.317951281</v>
      </c>
      <c r="G424" s="52">
        <v>2.3</v>
      </c>
      <c r="H424" s="54">
        <f t="shared" si="2"/>
        <v>0.1154906748</v>
      </c>
      <c r="I424" s="52">
        <v>10.7</v>
      </c>
      <c r="J424" s="54">
        <f t="shared" si="3"/>
        <v>0.7287393103</v>
      </c>
      <c r="K424" s="55">
        <v>1.102040816</v>
      </c>
      <c r="L424" s="54">
        <f t="shared" si="4"/>
        <v>0.04866611635</v>
      </c>
      <c r="M424" s="55">
        <v>2.510204082</v>
      </c>
      <c r="N424" s="56">
        <f t="shared" si="5"/>
        <v>0.1086336</v>
      </c>
      <c r="O424" s="57">
        <v>0.584</v>
      </c>
      <c r="P424" s="24">
        <v>29428.0</v>
      </c>
      <c r="Q424" s="24">
        <v>13653.0</v>
      </c>
      <c r="R424" s="24">
        <v>3119.0</v>
      </c>
      <c r="S424" s="24">
        <v>2820.0</v>
      </c>
      <c r="T424" s="24">
        <v>771.0</v>
      </c>
      <c r="U424" s="24">
        <v>23.2082</v>
      </c>
      <c r="V424" s="24">
        <v>10.7674</v>
      </c>
      <c r="W424" s="24">
        <v>2.4598</v>
      </c>
      <c r="X424" s="24">
        <v>2.224</v>
      </c>
      <c r="Y424" s="24">
        <v>0.608</v>
      </c>
      <c r="Z424" s="24">
        <v>91.6</v>
      </c>
      <c r="AA424" s="24">
        <v>20.7</v>
      </c>
      <c r="AB424" s="24">
        <v>5.0</v>
      </c>
      <c r="AC424" s="24">
        <v>41.7</v>
      </c>
      <c r="AD424" s="24">
        <v>8.4</v>
      </c>
      <c r="AE424" s="24">
        <v>1.2969</v>
      </c>
      <c r="AF424" s="24">
        <v>1.76259</v>
      </c>
      <c r="AG424" s="24">
        <v>1.142857</v>
      </c>
      <c r="AH424" s="24">
        <v>1.12</v>
      </c>
      <c r="AI424" s="24">
        <v>1.299517</v>
      </c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8"/>
    </row>
    <row r="425">
      <c r="A425" s="51" t="s">
        <v>46</v>
      </c>
      <c r="B425" s="51" t="s">
        <v>107</v>
      </c>
      <c r="C425" s="24">
        <v>2000.0</v>
      </c>
      <c r="D425" s="24">
        <v>0.0623</v>
      </c>
      <c r="E425" s="52">
        <v>29.7</v>
      </c>
      <c r="F425" s="53">
        <f t="shared" si="1"/>
        <v>2.254602735</v>
      </c>
      <c r="G425" s="52">
        <v>3.8</v>
      </c>
      <c r="H425" s="54">
        <f t="shared" si="2"/>
        <v>0.2855742537</v>
      </c>
      <c r="I425" s="52">
        <v>13.6</v>
      </c>
      <c r="J425" s="54">
        <f t="shared" si="3"/>
        <v>1.451633809</v>
      </c>
      <c r="K425" s="55">
        <v>0.683544304</v>
      </c>
      <c r="L425" s="54">
        <f t="shared" si="4"/>
        <v>0.05174863543</v>
      </c>
      <c r="M425" s="55">
        <v>4.537974684</v>
      </c>
      <c r="N425" s="56">
        <f t="shared" si="5"/>
        <v>0.3044631721</v>
      </c>
      <c r="O425" s="57">
        <v>0.578</v>
      </c>
      <c r="P425" s="24">
        <v>29428.0</v>
      </c>
      <c r="Q425" s="24">
        <v>13653.0</v>
      </c>
      <c r="R425" s="24">
        <v>3119.0</v>
      </c>
      <c r="S425" s="24">
        <v>2820.0</v>
      </c>
      <c r="T425" s="24">
        <v>771.0</v>
      </c>
      <c r="U425" s="24">
        <v>23.2082</v>
      </c>
      <c r="V425" s="24">
        <v>10.7674</v>
      </c>
      <c r="W425" s="24">
        <v>2.4598</v>
      </c>
      <c r="X425" s="24">
        <v>2.224</v>
      </c>
      <c r="Y425" s="24">
        <v>0.608</v>
      </c>
      <c r="Z425" s="24">
        <v>97.5</v>
      </c>
      <c r="AA425" s="24">
        <v>22.3</v>
      </c>
      <c r="AB425" s="24">
        <v>5.2</v>
      </c>
      <c r="AC425" s="24">
        <v>42.9</v>
      </c>
      <c r="AD425" s="24">
        <v>7.9</v>
      </c>
      <c r="AE425" s="24">
        <v>1.2185</v>
      </c>
      <c r="AF425" s="24">
        <v>1.713287</v>
      </c>
      <c r="AG425" s="24">
        <v>1.21519</v>
      </c>
      <c r="AH425" s="24">
        <v>1.076923</v>
      </c>
      <c r="AI425" s="24">
        <v>1.206278</v>
      </c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</row>
    <row r="426">
      <c r="A426" s="51" t="s">
        <v>46</v>
      </c>
      <c r="B426" s="51" t="s">
        <v>107</v>
      </c>
      <c r="C426" s="24">
        <v>2001.0</v>
      </c>
      <c r="D426" s="24">
        <v>0.05836</v>
      </c>
      <c r="E426" s="52">
        <v>28.7</v>
      </c>
      <c r="F426" s="53">
        <f t="shared" si="1"/>
        <v>2.099024782</v>
      </c>
      <c r="G426" s="52">
        <v>3.7</v>
      </c>
      <c r="H426" s="54">
        <f t="shared" si="2"/>
        <v>0.2664482117</v>
      </c>
      <c r="I426" s="52">
        <v>12.7</v>
      </c>
      <c r="J426" s="54">
        <f t="shared" si="3"/>
        <v>1.281791751</v>
      </c>
      <c r="K426" s="55">
        <v>0.952702703</v>
      </c>
      <c r="L426" s="54">
        <f t="shared" si="4"/>
        <v>0.06843042378</v>
      </c>
      <c r="M426" s="55">
        <v>4.135135135</v>
      </c>
      <c r="N426" s="56">
        <f t="shared" si="5"/>
        <v>0.2549865309</v>
      </c>
      <c r="O426" s="57">
        <v>0.574</v>
      </c>
      <c r="P426" s="24">
        <v>29428.0</v>
      </c>
      <c r="Q426" s="24">
        <v>13653.0</v>
      </c>
      <c r="R426" s="24">
        <v>3119.0</v>
      </c>
      <c r="S426" s="24">
        <v>2820.0</v>
      </c>
      <c r="T426" s="24">
        <v>771.0</v>
      </c>
      <c r="U426" s="24">
        <v>23.2082</v>
      </c>
      <c r="V426" s="24">
        <v>10.7674</v>
      </c>
      <c r="W426" s="24">
        <v>2.4598</v>
      </c>
      <c r="X426" s="24">
        <v>2.224</v>
      </c>
      <c r="Y426" s="24">
        <v>0.608</v>
      </c>
      <c r="Z426" s="24">
        <v>94.8</v>
      </c>
      <c r="AA426" s="24">
        <v>21.8</v>
      </c>
      <c r="AB426" s="24">
        <v>5.3</v>
      </c>
      <c r="AC426" s="24">
        <v>42.5</v>
      </c>
      <c r="AD426" s="24">
        <v>7.8</v>
      </c>
      <c r="AE426" s="24">
        <v>1.2532</v>
      </c>
      <c r="AF426" s="24">
        <v>1.729412</v>
      </c>
      <c r="AG426" s="24">
        <v>1.230769</v>
      </c>
      <c r="AH426" s="24">
        <v>1.056604</v>
      </c>
      <c r="AI426" s="24">
        <v>1.233945</v>
      </c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8"/>
    </row>
    <row r="427">
      <c r="A427" s="51" t="s">
        <v>46</v>
      </c>
      <c r="B427" s="51" t="s">
        <v>107</v>
      </c>
      <c r="C427" s="24">
        <v>2002.0</v>
      </c>
      <c r="D427" s="24">
        <v>0.05284</v>
      </c>
      <c r="E427" s="52">
        <v>27.2</v>
      </c>
      <c r="F427" s="53">
        <f t="shared" si="1"/>
        <v>1.787936512</v>
      </c>
      <c r="G427" s="52">
        <v>3.0</v>
      </c>
      <c r="H427" s="54">
        <f t="shared" si="2"/>
        <v>0.1947118597</v>
      </c>
      <c r="I427" s="52">
        <v>10.7</v>
      </c>
      <c r="J427" s="54">
        <f t="shared" si="3"/>
        <v>0.9800950095</v>
      </c>
      <c r="K427" s="55">
        <v>0.917910448</v>
      </c>
      <c r="L427" s="54">
        <f t="shared" si="4"/>
        <v>0.05969523567</v>
      </c>
      <c r="M427" s="55">
        <v>3.067164179</v>
      </c>
      <c r="N427" s="56">
        <f t="shared" si="5"/>
        <v>0.1745357855</v>
      </c>
      <c r="O427" s="57">
        <v>0.59</v>
      </c>
      <c r="P427" s="24">
        <v>29428.0</v>
      </c>
      <c r="Q427" s="24">
        <v>13653.0</v>
      </c>
      <c r="R427" s="24">
        <v>3119.0</v>
      </c>
      <c r="S427" s="24">
        <v>2820.0</v>
      </c>
      <c r="T427" s="24">
        <v>771.0</v>
      </c>
      <c r="U427" s="24">
        <v>23.2082</v>
      </c>
      <c r="V427" s="24">
        <v>10.7674</v>
      </c>
      <c r="W427" s="24">
        <v>2.4598</v>
      </c>
      <c r="X427" s="24">
        <v>2.224</v>
      </c>
      <c r="Y427" s="24">
        <v>0.608</v>
      </c>
      <c r="Z427" s="24">
        <v>95.5</v>
      </c>
      <c r="AA427" s="24">
        <v>21.9</v>
      </c>
      <c r="AB427" s="24">
        <v>5.2</v>
      </c>
      <c r="AC427" s="24">
        <v>42.4</v>
      </c>
      <c r="AD427" s="24">
        <v>7.8</v>
      </c>
      <c r="AE427" s="24">
        <v>1.244</v>
      </c>
      <c r="AF427" s="24">
        <v>1.733491</v>
      </c>
      <c r="AG427" s="24">
        <v>1.230769</v>
      </c>
      <c r="AH427" s="24">
        <v>1.076923</v>
      </c>
      <c r="AI427" s="24">
        <v>1.228311</v>
      </c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8"/>
    </row>
    <row r="428">
      <c r="A428" s="51" t="s">
        <v>46</v>
      </c>
      <c r="B428" s="51" t="s">
        <v>107</v>
      </c>
      <c r="C428" s="24">
        <v>2003.0</v>
      </c>
      <c r="D428" s="24">
        <v>0.05284</v>
      </c>
      <c r="E428" s="52">
        <v>27.5</v>
      </c>
      <c r="F428" s="53">
        <f t="shared" si="1"/>
        <v>1.81521252</v>
      </c>
      <c r="G428" s="52">
        <v>3.1</v>
      </c>
      <c r="H428" s="54">
        <f t="shared" si="2"/>
        <v>0.2049455041</v>
      </c>
      <c r="I428" s="52">
        <v>11.1</v>
      </c>
      <c r="J428" s="54">
        <f t="shared" si="3"/>
        <v>1.019137651</v>
      </c>
      <c r="K428" s="55">
        <v>0.850746269</v>
      </c>
      <c r="L428" s="54">
        <f t="shared" si="4"/>
        <v>0.05462696207</v>
      </c>
      <c r="M428" s="55">
        <v>3.559701493</v>
      </c>
      <c r="N428" s="56">
        <f t="shared" si="5"/>
        <v>0.2106659821</v>
      </c>
      <c r="O428" s="57">
        <v>0.602</v>
      </c>
      <c r="P428" s="24">
        <v>29428.0</v>
      </c>
      <c r="Q428" s="24">
        <v>13653.0</v>
      </c>
      <c r="R428" s="24">
        <v>3119.0</v>
      </c>
      <c r="S428" s="24">
        <v>2820.0</v>
      </c>
      <c r="T428" s="24">
        <v>771.0</v>
      </c>
      <c r="U428" s="24">
        <v>23.2082</v>
      </c>
      <c r="V428" s="24">
        <v>10.7674</v>
      </c>
      <c r="W428" s="24">
        <v>2.4598</v>
      </c>
      <c r="X428" s="24">
        <v>2.224</v>
      </c>
      <c r="Y428" s="24">
        <v>0.608</v>
      </c>
      <c r="Z428" s="24">
        <v>95.1</v>
      </c>
      <c r="AA428" s="24">
        <v>21.5</v>
      </c>
      <c r="AB428" s="24">
        <v>5.0</v>
      </c>
      <c r="AC428" s="24">
        <v>42.3</v>
      </c>
      <c r="AD428" s="24">
        <v>7.9</v>
      </c>
      <c r="AE428" s="24">
        <v>1.2492</v>
      </c>
      <c r="AF428" s="24">
        <v>1.737589</v>
      </c>
      <c r="AG428" s="24">
        <v>1.21519</v>
      </c>
      <c r="AH428" s="24">
        <v>1.12</v>
      </c>
      <c r="AI428" s="24">
        <v>1.251163</v>
      </c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</row>
    <row r="429">
      <c r="A429" s="51" t="s">
        <v>46</v>
      </c>
      <c r="B429" s="51" t="s">
        <v>107</v>
      </c>
      <c r="C429" s="24">
        <v>2004.0</v>
      </c>
      <c r="D429" s="24">
        <v>0.05284</v>
      </c>
      <c r="E429" s="52">
        <v>21.5</v>
      </c>
      <c r="F429" s="53">
        <f t="shared" si="1"/>
        <v>1.444954714</v>
      </c>
      <c r="G429" s="52">
        <v>2.9</v>
      </c>
      <c r="H429" s="54">
        <f t="shared" si="2"/>
        <v>0.19352343</v>
      </c>
      <c r="I429" s="52">
        <v>11.5</v>
      </c>
      <c r="J429" s="54">
        <f t="shared" si="3"/>
        <v>1.058365068</v>
      </c>
      <c r="K429" s="55">
        <v>0.76119403</v>
      </c>
      <c r="L429" s="54">
        <f t="shared" si="4"/>
        <v>0.04887675553</v>
      </c>
      <c r="M429" s="55">
        <v>3.71641791</v>
      </c>
      <c r="N429" s="56">
        <f t="shared" si="5"/>
        <v>0.2156279822</v>
      </c>
      <c r="O429" s="57">
        <v>0.578</v>
      </c>
      <c r="P429" s="24">
        <v>29428.0</v>
      </c>
      <c r="Q429" s="24">
        <v>13653.0</v>
      </c>
      <c r="R429" s="24">
        <v>3119.0</v>
      </c>
      <c r="S429" s="24">
        <v>2820.0</v>
      </c>
      <c r="T429" s="24">
        <v>771.0</v>
      </c>
      <c r="U429" s="24">
        <v>23.2082</v>
      </c>
      <c r="V429" s="24">
        <v>10.7674</v>
      </c>
      <c r="W429" s="24">
        <v>2.4598</v>
      </c>
      <c r="X429" s="24">
        <v>2.224</v>
      </c>
      <c r="Y429" s="24">
        <v>0.608</v>
      </c>
      <c r="Z429" s="24">
        <v>93.4</v>
      </c>
      <c r="AA429" s="24">
        <v>21.3</v>
      </c>
      <c r="AB429" s="24">
        <v>5.1</v>
      </c>
      <c r="AC429" s="24">
        <v>42.2</v>
      </c>
      <c r="AD429" s="24">
        <v>7.9</v>
      </c>
      <c r="AE429" s="24">
        <v>1.2719</v>
      </c>
      <c r="AF429" s="24">
        <v>1.741706</v>
      </c>
      <c r="AG429" s="24">
        <v>1.21519</v>
      </c>
      <c r="AH429" s="24">
        <v>1.098039</v>
      </c>
      <c r="AI429" s="24">
        <v>1.262911</v>
      </c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</row>
    <row r="430">
      <c r="A430" s="51" t="s">
        <v>46</v>
      </c>
      <c r="B430" s="51" t="s">
        <v>107</v>
      </c>
      <c r="C430" s="24">
        <v>2005.0</v>
      </c>
      <c r="D430" s="24">
        <v>0.05757</v>
      </c>
      <c r="E430" s="52">
        <v>22.9</v>
      </c>
      <c r="F430" s="53">
        <f t="shared" si="1"/>
        <v>1.611291037</v>
      </c>
      <c r="G430" s="52">
        <v>2.7</v>
      </c>
      <c r="H430" s="54">
        <f t="shared" si="2"/>
        <v>0.1963056229</v>
      </c>
      <c r="I430" s="52">
        <v>10.4</v>
      </c>
      <c r="J430" s="54">
        <f t="shared" si="3"/>
        <v>1.050274887</v>
      </c>
      <c r="K430" s="55">
        <v>0.739726027</v>
      </c>
      <c r="L430" s="54">
        <f t="shared" si="4"/>
        <v>0.05451011504</v>
      </c>
      <c r="M430" s="55">
        <v>3.51369863</v>
      </c>
      <c r="N430" s="56">
        <f t="shared" si="5"/>
        <v>0.2311812627</v>
      </c>
      <c r="O430" s="57">
        <v>0.583</v>
      </c>
      <c r="P430" s="24">
        <v>29428.0</v>
      </c>
      <c r="Q430" s="24">
        <v>13653.0</v>
      </c>
      <c r="R430" s="24">
        <v>3119.0</v>
      </c>
      <c r="S430" s="24">
        <v>2820.0</v>
      </c>
      <c r="T430" s="24">
        <v>771.0</v>
      </c>
      <c r="U430" s="24">
        <v>23.2082</v>
      </c>
      <c r="V430" s="24">
        <v>10.7674</v>
      </c>
      <c r="W430" s="24">
        <v>2.4598</v>
      </c>
      <c r="X430" s="24">
        <v>2.224</v>
      </c>
      <c r="Y430" s="24">
        <v>0.608</v>
      </c>
      <c r="Z430" s="24">
        <v>97.2</v>
      </c>
      <c r="AA430" s="24">
        <v>21.3</v>
      </c>
      <c r="AB430" s="24">
        <v>4.9</v>
      </c>
      <c r="AC430" s="24">
        <v>41.9</v>
      </c>
      <c r="AD430" s="24">
        <v>7.5</v>
      </c>
      <c r="AE430" s="24">
        <v>1.2222</v>
      </c>
      <c r="AF430" s="24">
        <v>1.754177</v>
      </c>
      <c r="AG430" s="24">
        <v>1.28</v>
      </c>
      <c r="AH430" s="24">
        <v>1.142857</v>
      </c>
      <c r="AI430" s="24">
        <v>1.262911</v>
      </c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</row>
    <row r="431">
      <c r="A431" s="51" t="s">
        <v>46</v>
      </c>
      <c r="B431" s="51" t="s">
        <v>107</v>
      </c>
      <c r="C431" s="24">
        <v>2006.0</v>
      </c>
      <c r="D431" s="24">
        <v>0.04653</v>
      </c>
      <c r="E431" s="52">
        <v>20.0</v>
      </c>
      <c r="F431" s="53">
        <f t="shared" si="1"/>
        <v>1.13970582</v>
      </c>
      <c r="G431" s="52">
        <v>1.9</v>
      </c>
      <c r="H431" s="54">
        <f t="shared" si="2"/>
        <v>0.1154440708</v>
      </c>
      <c r="I431" s="52">
        <v>9.2</v>
      </c>
      <c r="J431" s="54">
        <f t="shared" si="3"/>
        <v>0.7674045679</v>
      </c>
      <c r="K431" s="55">
        <v>0.584745763</v>
      </c>
      <c r="L431" s="54">
        <f t="shared" si="4"/>
        <v>0.03627761807</v>
      </c>
      <c r="M431" s="55">
        <v>2.644067797</v>
      </c>
      <c r="N431" s="56">
        <f t="shared" si="5"/>
        <v>0.1465870742</v>
      </c>
      <c r="O431" s="57">
        <v>0.586</v>
      </c>
      <c r="P431" s="24">
        <v>29428.0</v>
      </c>
      <c r="Q431" s="24">
        <v>13653.0</v>
      </c>
      <c r="R431" s="24">
        <v>3119.0</v>
      </c>
      <c r="S431" s="24">
        <v>2820.0</v>
      </c>
      <c r="T431" s="24">
        <v>771.0</v>
      </c>
      <c r="U431" s="24">
        <v>23.2082</v>
      </c>
      <c r="V431" s="24">
        <v>10.7674</v>
      </c>
      <c r="W431" s="24">
        <v>2.4598</v>
      </c>
      <c r="X431" s="24">
        <v>2.224</v>
      </c>
      <c r="Y431" s="24">
        <v>0.608</v>
      </c>
      <c r="Z431" s="24">
        <v>97.0</v>
      </c>
      <c r="AA431" s="24">
        <v>20.6</v>
      </c>
      <c r="AB431" s="24">
        <v>4.7</v>
      </c>
      <c r="AC431" s="24">
        <v>41.0</v>
      </c>
      <c r="AD431" s="24">
        <v>7.2</v>
      </c>
      <c r="AE431" s="24">
        <v>1.2247</v>
      </c>
      <c r="AF431" s="24">
        <v>1.792683</v>
      </c>
      <c r="AG431" s="24">
        <v>1.333333</v>
      </c>
      <c r="AH431" s="24">
        <v>1.191489</v>
      </c>
      <c r="AI431" s="24">
        <v>1.305825</v>
      </c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</row>
    <row r="432">
      <c r="A432" s="51" t="s">
        <v>46</v>
      </c>
      <c r="B432" s="51" t="s">
        <v>107</v>
      </c>
      <c r="C432" s="24">
        <v>2007.0</v>
      </c>
      <c r="D432" s="24">
        <v>0.03155</v>
      </c>
      <c r="E432" s="52">
        <v>17.3</v>
      </c>
      <c r="F432" s="53">
        <f t="shared" si="1"/>
        <v>0.656942934</v>
      </c>
      <c r="G432" s="52">
        <v>2.0</v>
      </c>
      <c r="H432" s="54">
        <f t="shared" si="2"/>
        <v>0.0796896841</v>
      </c>
      <c r="I432" s="52">
        <v>7.4</v>
      </c>
      <c r="J432" s="54">
        <f t="shared" si="3"/>
        <v>0.4175193039</v>
      </c>
      <c r="K432" s="55">
        <v>0.3</v>
      </c>
      <c r="L432" s="54">
        <f t="shared" si="4"/>
        <v>0.01261999685</v>
      </c>
      <c r="M432" s="55">
        <v>2.0625</v>
      </c>
      <c r="N432" s="56">
        <f t="shared" si="5"/>
        <v>0.07921791498</v>
      </c>
      <c r="O432" s="57">
        <v>0.567</v>
      </c>
      <c r="P432" s="24">
        <v>29428.0</v>
      </c>
      <c r="Q432" s="24">
        <v>13653.0</v>
      </c>
      <c r="R432" s="24">
        <v>3119.0</v>
      </c>
      <c r="S432" s="24">
        <v>2820.0</v>
      </c>
      <c r="T432" s="24">
        <v>771.0</v>
      </c>
      <c r="U432" s="24">
        <v>23.2082</v>
      </c>
      <c r="V432" s="24">
        <v>10.7674</v>
      </c>
      <c r="W432" s="24">
        <v>2.4598</v>
      </c>
      <c r="X432" s="24">
        <v>2.224</v>
      </c>
      <c r="Y432" s="24">
        <v>0.608</v>
      </c>
      <c r="Z432" s="24">
        <v>98.7</v>
      </c>
      <c r="AA432" s="24">
        <v>21.3</v>
      </c>
      <c r="AB432" s="24">
        <v>4.6</v>
      </c>
      <c r="AC432" s="24">
        <v>41.1</v>
      </c>
      <c r="AD432" s="24">
        <v>7.2</v>
      </c>
      <c r="AE432" s="24">
        <v>1.2036</v>
      </c>
      <c r="AF432" s="24">
        <v>1.788321</v>
      </c>
      <c r="AG432" s="24">
        <v>1.333333</v>
      </c>
      <c r="AH432" s="24">
        <v>1.217391</v>
      </c>
      <c r="AI432" s="24">
        <v>1.262911</v>
      </c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</row>
    <row r="433">
      <c r="A433" s="51" t="s">
        <v>46</v>
      </c>
      <c r="B433" s="51" t="s">
        <v>107</v>
      </c>
      <c r="C433" s="24">
        <v>2008.0</v>
      </c>
      <c r="D433" s="24">
        <v>0.09621</v>
      </c>
      <c r="E433" s="52">
        <v>13.567</v>
      </c>
      <c r="F433" s="53">
        <f t="shared" si="1"/>
        <v>1.552240248</v>
      </c>
      <c r="G433" s="52">
        <v>1.533</v>
      </c>
      <c r="H433" s="54">
        <f t="shared" si="2"/>
        <v>0.1819944617</v>
      </c>
      <c r="I433" s="52">
        <v>9.167</v>
      </c>
      <c r="J433" s="54">
        <f t="shared" si="3"/>
        <v>1.543424873</v>
      </c>
      <c r="K433" s="55">
        <v>0.524590164</v>
      </c>
      <c r="L433" s="54">
        <f t="shared" si="4"/>
        <v>0.06637255989</v>
      </c>
      <c r="M433" s="55">
        <v>1.442622951</v>
      </c>
      <c r="N433" s="56">
        <f t="shared" si="5"/>
        <v>0.1653724228</v>
      </c>
      <c r="O433" s="57">
        <v>0.59</v>
      </c>
      <c r="P433" s="24">
        <v>29428.0</v>
      </c>
      <c r="Q433" s="24">
        <v>13653.0</v>
      </c>
      <c r="R433" s="24">
        <v>3119.0</v>
      </c>
      <c r="S433" s="24">
        <v>2820.0</v>
      </c>
      <c r="T433" s="24">
        <v>771.0</v>
      </c>
      <c r="U433" s="24">
        <v>23.2082</v>
      </c>
      <c r="V433" s="24">
        <v>10.7674</v>
      </c>
      <c r="W433" s="24">
        <v>2.4598</v>
      </c>
      <c r="X433" s="24">
        <v>2.224</v>
      </c>
      <c r="Y433" s="24">
        <v>0.608</v>
      </c>
      <c r="Z433" s="24">
        <v>99.9</v>
      </c>
      <c r="AA433" s="24">
        <v>21.8</v>
      </c>
      <c r="AB433" s="24">
        <v>4.7</v>
      </c>
      <c r="AC433" s="24">
        <v>42.0</v>
      </c>
      <c r="AD433" s="24">
        <v>7.3</v>
      </c>
      <c r="AE433" s="24">
        <v>1.1892</v>
      </c>
      <c r="AF433" s="24">
        <v>1.75</v>
      </c>
      <c r="AG433" s="24">
        <v>1.315068</v>
      </c>
      <c r="AH433" s="24">
        <v>1.191489</v>
      </c>
      <c r="AI433" s="24">
        <v>1.233945</v>
      </c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</row>
    <row r="434">
      <c r="A434" s="51" t="s">
        <v>46</v>
      </c>
      <c r="B434" s="51" t="s">
        <v>107</v>
      </c>
      <c r="C434" s="24">
        <v>2009.0</v>
      </c>
      <c r="D434" s="24">
        <v>0.05915</v>
      </c>
      <c r="E434" s="52">
        <v>17.8</v>
      </c>
      <c r="F434" s="53">
        <f t="shared" si="1"/>
        <v>1.25080956</v>
      </c>
      <c r="G434" s="52">
        <v>1.7</v>
      </c>
      <c r="H434" s="54">
        <f t="shared" si="2"/>
        <v>0.1288061284</v>
      </c>
      <c r="I434" s="52">
        <v>8.4</v>
      </c>
      <c r="J434" s="54">
        <f t="shared" si="3"/>
        <v>0.8842423645</v>
      </c>
      <c r="K434" s="55">
        <v>0.98</v>
      </c>
      <c r="L434" s="54">
        <f t="shared" si="4"/>
        <v>0.07623054676</v>
      </c>
      <c r="M434" s="55">
        <v>2.16</v>
      </c>
      <c r="N434" s="56">
        <f t="shared" si="5"/>
        <v>0.1490580426</v>
      </c>
      <c r="O434" s="57">
        <v>0.623</v>
      </c>
      <c r="P434" s="24">
        <v>29428.0</v>
      </c>
      <c r="Q434" s="24">
        <v>13653.0</v>
      </c>
      <c r="R434" s="24">
        <v>3119.0</v>
      </c>
      <c r="S434" s="24">
        <v>2820.0</v>
      </c>
      <c r="T434" s="24">
        <v>771.0</v>
      </c>
      <c r="U434" s="24">
        <v>23.2082</v>
      </c>
      <c r="V434" s="24">
        <v>10.7674</v>
      </c>
      <c r="W434" s="24">
        <v>2.4598</v>
      </c>
      <c r="X434" s="24">
        <v>2.224</v>
      </c>
      <c r="Y434" s="24">
        <v>0.608</v>
      </c>
      <c r="Z434" s="24">
        <v>100.0</v>
      </c>
      <c r="AA434" s="24">
        <v>21.0</v>
      </c>
      <c r="AB434" s="24">
        <v>4.8</v>
      </c>
      <c r="AC434" s="24">
        <v>41.3</v>
      </c>
      <c r="AD434" s="24">
        <v>7.3</v>
      </c>
      <c r="AE434" s="24">
        <v>1.188</v>
      </c>
      <c r="AF434" s="24">
        <v>1.779661</v>
      </c>
      <c r="AG434" s="24">
        <v>1.315068</v>
      </c>
      <c r="AH434" s="24">
        <v>1.166667</v>
      </c>
      <c r="AI434" s="24">
        <v>1.280952</v>
      </c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</row>
    <row r="435">
      <c r="A435" s="51" t="s">
        <v>46</v>
      </c>
      <c r="B435" s="51" t="s">
        <v>107</v>
      </c>
      <c r="C435" s="24">
        <v>2010.0</v>
      </c>
      <c r="D435" s="24">
        <v>0.0418</v>
      </c>
      <c r="E435" s="52">
        <v>12.0</v>
      </c>
      <c r="F435" s="53">
        <f t="shared" si="1"/>
        <v>0.59354328</v>
      </c>
      <c r="G435" s="52">
        <v>1.5</v>
      </c>
      <c r="H435" s="54">
        <f t="shared" si="2"/>
        <v>0.0795580236</v>
      </c>
      <c r="I435" s="52">
        <v>6.7</v>
      </c>
      <c r="J435" s="54">
        <f t="shared" si="3"/>
        <v>0.4936309554</v>
      </c>
      <c r="K435" s="55">
        <v>0.424528302</v>
      </c>
      <c r="L435" s="54">
        <f t="shared" si="4"/>
        <v>0.02366037145</v>
      </c>
      <c r="M435" s="55">
        <v>1.754716981</v>
      </c>
      <c r="N435" s="56">
        <f t="shared" si="5"/>
        <v>0.08382532644</v>
      </c>
      <c r="O435" s="57">
        <v>0.565</v>
      </c>
      <c r="P435" s="24">
        <v>29428.0</v>
      </c>
      <c r="Q435" s="24">
        <v>13653.0</v>
      </c>
      <c r="R435" s="24">
        <v>3119.0</v>
      </c>
      <c r="S435" s="24">
        <v>2820.0</v>
      </c>
      <c r="T435" s="24">
        <v>771.0</v>
      </c>
      <c r="U435" s="24">
        <v>23.2082</v>
      </c>
      <c r="V435" s="24">
        <v>10.7674</v>
      </c>
      <c r="W435" s="24">
        <v>2.4598</v>
      </c>
      <c r="X435" s="24">
        <v>2.224</v>
      </c>
      <c r="Y435" s="24">
        <v>0.608</v>
      </c>
      <c r="Z435" s="24">
        <v>100.4</v>
      </c>
      <c r="AA435" s="24">
        <v>21.2</v>
      </c>
      <c r="AB435" s="24">
        <v>4.9</v>
      </c>
      <c r="AC435" s="24">
        <v>41.7</v>
      </c>
      <c r="AD435" s="24">
        <v>7.2</v>
      </c>
      <c r="AE435" s="24">
        <v>1.1833</v>
      </c>
      <c r="AF435" s="24">
        <v>1.76259</v>
      </c>
      <c r="AG435" s="24">
        <v>1.333333</v>
      </c>
      <c r="AH435" s="24">
        <v>1.142857</v>
      </c>
      <c r="AI435" s="24">
        <v>1.268868</v>
      </c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</row>
    <row r="436">
      <c r="A436" s="51" t="s">
        <v>46</v>
      </c>
      <c r="B436" s="51" t="s">
        <v>107</v>
      </c>
      <c r="C436" s="24">
        <v>2011.0</v>
      </c>
      <c r="D436" s="24">
        <v>0.02918</v>
      </c>
      <c r="E436" s="52">
        <v>9.2</v>
      </c>
      <c r="F436" s="53">
        <f t="shared" si="1"/>
        <v>0.3202143168</v>
      </c>
      <c r="G436" s="52">
        <v>0.7</v>
      </c>
      <c r="H436" s="54">
        <f t="shared" si="2"/>
        <v>0.02555625544</v>
      </c>
      <c r="I436" s="52">
        <v>4.8</v>
      </c>
      <c r="J436" s="54">
        <f t="shared" si="3"/>
        <v>0.2486643032</v>
      </c>
      <c r="K436" s="55">
        <v>0.648648649</v>
      </c>
      <c r="L436" s="54">
        <f t="shared" si="4"/>
        <v>0.02489103844</v>
      </c>
      <c r="M436" s="55">
        <v>1.702702703</v>
      </c>
      <c r="N436" s="56">
        <f t="shared" si="5"/>
        <v>0.05678269561</v>
      </c>
      <c r="O436" s="57">
        <v>0.659</v>
      </c>
      <c r="P436" s="24">
        <v>29428.0</v>
      </c>
      <c r="Q436" s="24">
        <v>13653.0</v>
      </c>
      <c r="R436" s="24">
        <v>3119.0</v>
      </c>
      <c r="S436" s="24">
        <v>2820.0</v>
      </c>
      <c r="T436" s="24">
        <v>771.0</v>
      </c>
      <c r="U436" s="24">
        <v>23.2082</v>
      </c>
      <c r="V436" s="24">
        <v>10.7674</v>
      </c>
      <c r="W436" s="24">
        <v>2.4598</v>
      </c>
      <c r="X436" s="24">
        <v>2.224</v>
      </c>
      <c r="Y436" s="24">
        <v>0.608</v>
      </c>
      <c r="Z436" s="24">
        <v>99.6</v>
      </c>
      <c r="AA436" s="24">
        <v>21.5</v>
      </c>
      <c r="AB436" s="24">
        <v>4.9</v>
      </c>
      <c r="AC436" s="24">
        <v>41.4</v>
      </c>
      <c r="AD436" s="24">
        <v>7.3</v>
      </c>
      <c r="AE436" s="24">
        <v>1.1928</v>
      </c>
      <c r="AF436" s="24">
        <v>1.775362</v>
      </c>
      <c r="AG436" s="24">
        <v>1.315068</v>
      </c>
      <c r="AH436" s="24">
        <v>1.142857</v>
      </c>
      <c r="AI436" s="24">
        <v>1.251163</v>
      </c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</row>
    <row r="437">
      <c r="A437" s="51" t="s">
        <v>55</v>
      </c>
      <c r="B437" s="51" t="s">
        <v>104</v>
      </c>
      <c r="C437" s="24">
        <v>2010.0</v>
      </c>
      <c r="D437" s="24">
        <v>0.0804</v>
      </c>
      <c r="E437" s="52">
        <v>17.5</v>
      </c>
      <c r="F437" s="53">
        <f t="shared" si="1"/>
        <v>1.6649031</v>
      </c>
      <c r="G437" s="52">
        <v>5.9</v>
      </c>
      <c r="H437" s="54">
        <f t="shared" si="2"/>
        <v>0.6019002245</v>
      </c>
      <c r="I437" s="52">
        <v>4.5</v>
      </c>
      <c r="J437" s="54">
        <f t="shared" si="3"/>
        <v>0.637705062</v>
      </c>
      <c r="K437" s="55">
        <v>2.85</v>
      </c>
      <c r="L437" s="54">
        <f t="shared" si="4"/>
        <v>0.3055199236</v>
      </c>
      <c r="M437" s="55">
        <v>0.35625</v>
      </c>
      <c r="N437" s="56">
        <f t="shared" si="5"/>
        <v>0.03273428162</v>
      </c>
      <c r="O437" s="57">
        <v>0.568</v>
      </c>
      <c r="P437" s="24">
        <v>24529.0</v>
      </c>
      <c r="Q437" s="24">
        <v>4689.0</v>
      </c>
      <c r="R437" s="24">
        <v>6361.0</v>
      </c>
      <c r="S437" s="24">
        <v>254.0</v>
      </c>
      <c r="T437" s="24">
        <v>1516.0</v>
      </c>
      <c r="U437" s="24">
        <v>24.6523</v>
      </c>
      <c r="V437" s="24">
        <v>4.7126</v>
      </c>
      <c r="W437" s="24">
        <v>6.393</v>
      </c>
      <c r="X437" s="24">
        <v>0.2553</v>
      </c>
      <c r="Y437" s="24">
        <v>1.5236</v>
      </c>
      <c r="Z437" s="24">
        <v>100.4</v>
      </c>
      <c r="AA437" s="24">
        <v>21.2</v>
      </c>
      <c r="AB437" s="24">
        <v>4.9</v>
      </c>
      <c r="AC437" s="24">
        <v>41.7</v>
      </c>
      <c r="AD437" s="24">
        <v>7.2</v>
      </c>
      <c r="AE437" s="24">
        <v>1.1833</v>
      </c>
      <c r="AF437" s="24">
        <v>1.76259</v>
      </c>
      <c r="AG437" s="24">
        <v>1.333333</v>
      </c>
      <c r="AH437" s="24">
        <v>1.142857</v>
      </c>
      <c r="AI437" s="24">
        <v>1.268868</v>
      </c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</row>
    <row r="438">
      <c r="A438" s="51" t="s">
        <v>55</v>
      </c>
      <c r="B438" s="51" t="s">
        <v>104</v>
      </c>
      <c r="C438" s="24">
        <v>2011.0</v>
      </c>
      <c r="D438" s="24">
        <v>0.07437</v>
      </c>
      <c r="E438" s="52">
        <v>18.6</v>
      </c>
      <c r="F438" s="53">
        <f t="shared" si="1"/>
        <v>1.64997877</v>
      </c>
      <c r="G438" s="52">
        <v>5.8</v>
      </c>
      <c r="H438" s="54">
        <f t="shared" si="2"/>
        <v>0.5396841554</v>
      </c>
      <c r="I438" s="52">
        <v>3.9</v>
      </c>
      <c r="J438" s="54">
        <f t="shared" si="3"/>
        <v>0.5149313206</v>
      </c>
      <c r="K438" s="55">
        <v>2.209459459</v>
      </c>
      <c r="L438" s="54">
        <f t="shared" si="4"/>
        <v>0.216088686</v>
      </c>
      <c r="M438" s="55">
        <v>0.405405405</v>
      </c>
      <c r="N438" s="56">
        <f t="shared" si="5"/>
        <v>0.03445713852</v>
      </c>
      <c r="O438" s="57">
        <v>0.595</v>
      </c>
      <c r="P438" s="24">
        <v>24529.0</v>
      </c>
      <c r="Q438" s="24">
        <v>4689.0</v>
      </c>
      <c r="R438" s="24">
        <v>6361.0</v>
      </c>
      <c r="S438" s="24">
        <v>254.0</v>
      </c>
      <c r="T438" s="24">
        <v>1516.0</v>
      </c>
      <c r="U438" s="24">
        <v>24.6523</v>
      </c>
      <c r="V438" s="24">
        <v>4.7126</v>
      </c>
      <c r="W438" s="24">
        <v>6.393</v>
      </c>
      <c r="X438" s="24">
        <v>0.2553</v>
      </c>
      <c r="Y438" s="24">
        <v>1.5236</v>
      </c>
      <c r="Z438" s="24">
        <v>99.6</v>
      </c>
      <c r="AA438" s="24">
        <v>21.5</v>
      </c>
      <c r="AB438" s="24">
        <v>4.9</v>
      </c>
      <c r="AC438" s="24">
        <v>41.4</v>
      </c>
      <c r="AD438" s="24">
        <v>7.3</v>
      </c>
      <c r="AE438" s="24">
        <v>1.1928</v>
      </c>
      <c r="AF438" s="24">
        <v>1.775362</v>
      </c>
      <c r="AG438" s="24">
        <v>1.315068</v>
      </c>
      <c r="AH438" s="24">
        <v>1.142857</v>
      </c>
      <c r="AI438" s="24">
        <v>1.251163</v>
      </c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8"/>
    </row>
    <row r="439">
      <c r="A439" s="51" t="s">
        <v>55</v>
      </c>
      <c r="B439" s="51" t="s">
        <v>104</v>
      </c>
      <c r="C439" s="24">
        <v>2012.0</v>
      </c>
      <c r="D439" s="24">
        <v>0.02613</v>
      </c>
      <c r="E439" s="52">
        <v>14.7</v>
      </c>
      <c r="F439" s="53">
        <f t="shared" si="1"/>
        <v>0.4738393296</v>
      </c>
      <c r="G439" s="52">
        <v>5.3</v>
      </c>
      <c r="H439" s="54">
        <f t="shared" si="2"/>
        <v>0.1773977615</v>
      </c>
      <c r="I439" s="52">
        <v>3.4</v>
      </c>
      <c r="J439" s="54">
        <f t="shared" si="3"/>
        <v>0.1547366445</v>
      </c>
      <c r="K439" s="55">
        <v>2.25</v>
      </c>
      <c r="L439" s="54">
        <f t="shared" si="4"/>
        <v>0.07329972575</v>
      </c>
      <c r="M439" s="55">
        <v>0.461538462</v>
      </c>
      <c r="N439" s="56">
        <f t="shared" si="5"/>
        <v>0.01324235035</v>
      </c>
      <c r="O439" s="57">
        <v>0.605</v>
      </c>
      <c r="P439" s="24">
        <v>24529.0</v>
      </c>
      <c r="Q439" s="24">
        <v>4689.0</v>
      </c>
      <c r="R439" s="24">
        <v>6361.0</v>
      </c>
      <c r="S439" s="24">
        <v>254.0</v>
      </c>
      <c r="T439" s="24">
        <v>1516.0</v>
      </c>
      <c r="U439" s="24">
        <v>24.6523</v>
      </c>
      <c r="V439" s="24">
        <v>4.7126</v>
      </c>
      <c r="W439" s="24">
        <v>6.393</v>
      </c>
      <c r="X439" s="24">
        <v>0.2553</v>
      </c>
      <c r="Y439" s="24">
        <v>1.5236</v>
      </c>
      <c r="Z439" s="24">
        <v>96.3</v>
      </c>
      <c r="AA439" s="24">
        <v>21.0</v>
      </c>
      <c r="AB439" s="24">
        <v>5.1</v>
      </c>
      <c r="AC439" s="24">
        <v>42.2</v>
      </c>
      <c r="AD439" s="24">
        <v>7.7</v>
      </c>
      <c r="AE439" s="24">
        <v>1.2336</v>
      </c>
      <c r="AF439" s="24">
        <v>1.741706</v>
      </c>
      <c r="AG439" s="24">
        <v>1.246753</v>
      </c>
      <c r="AH439" s="24">
        <v>1.098039</v>
      </c>
      <c r="AI439" s="24">
        <v>1.280952</v>
      </c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</row>
    <row r="440">
      <c r="A440" s="51" t="s">
        <v>55</v>
      </c>
      <c r="B440" s="51" t="s">
        <v>104</v>
      </c>
      <c r="C440" s="24">
        <v>2013.0</v>
      </c>
      <c r="D440" s="24">
        <v>0.07839</v>
      </c>
      <c r="E440" s="52">
        <v>22.9</v>
      </c>
      <c r="F440" s="53">
        <f t="shared" si="1"/>
        <v>2.173903641</v>
      </c>
      <c r="G440" s="52">
        <v>6.9</v>
      </c>
      <c r="H440" s="54">
        <f t="shared" si="2"/>
        <v>0.6583698207</v>
      </c>
      <c r="I440" s="52">
        <v>4.0</v>
      </c>
      <c r="J440" s="54">
        <f t="shared" si="3"/>
        <v>0.5474265311</v>
      </c>
      <c r="K440" s="55">
        <v>2.423076923</v>
      </c>
      <c r="L440" s="54">
        <f t="shared" si="4"/>
        <v>0.2337784177</v>
      </c>
      <c r="M440" s="55">
        <v>0.230769231</v>
      </c>
      <c r="N440" s="56">
        <f t="shared" si="5"/>
        <v>0.01986352553</v>
      </c>
      <c r="O440" s="57">
        <v>0.589</v>
      </c>
      <c r="P440" s="24">
        <v>24529.0</v>
      </c>
      <c r="Q440" s="24">
        <v>4689.0</v>
      </c>
      <c r="R440" s="24">
        <v>6361.0</v>
      </c>
      <c r="S440" s="24">
        <v>254.0</v>
      </c>
      <c r="T440" s="24">
        <v>1516.0</v>
      </c>
      <c r="U440" s="24">
        <v>24.6523</v>
      </c>
      <c r="V440" s="24">
        <v>4.7126</v>
      </c>
      <c r="W440" s="24">
        <v>6.393</v>
      </c>
      <c r="X440" s="24">
        <v>0.2553</v>
      </c>
      <c r="Y440" s="24">
        <v>1.5236</v>
      </c>
      <c r="Z440" s="24">
        <v>98.1</v>
      </c>
      <c r="AA440" s="24">
        <v>22.1</v>
      </c>
      <c r="AB440" s="24">
        <v>5.1</v>
      </c>
      <c r="AC440" s="24">
        <v>42.1</v>
      </c>
      <c r="AD440" s="24">
        <v>7.8</v>
      </c>
      <c r="AE440" s="24">
        <v>1.211</v>
      </c>
      <c r="AF440" s="24">
        <v>1.745843</v>
      </c>
      <c r="AG440" s="24">
        <v>1.230769</v>
      </c>
      <c r="AH440" s="24">
        <v>1.098039</v>
      </c>
      <c r="AI440" s="24">
        <v>1.217195</v>
      </c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</row>
    <row r="441">
      <c r="A441" s="51" t="s">
        <v>55</v>
      </c>
      <c r="B441" s="51" t="s">
        <v>104</v>
      </c>
      <c r="C441" s="24">
        <v>2014.0</v>
      </c>
      <c r="D441" s="24">
        <v>0.07839</v>
      </c>
      <c r="E441" s="52">
        <v>24.0</v>
      </c>
      <c r="F441" s="53">
        <f t="shared" si="1"/>
        <v>2.212855632</v>
      </c>
      <c r="G441" s="52">
        <v>8.5</v>
      </c>
      <c r="H441" s="54">
        <f t="shared" si="2"/>
        <v>0.814721341</v>
      </c>
      <c r="I441" s="52">
        <v>4.3</v>
      </c>
      <c r="J441" s="54">
        <f t="shared" si="3"/>
        <v>0.5802143479</v>
      </c>
      <c r="K441" s="55">
        <v>2.461538462</v>
      </c>
      <c r="L441" s="54">
        <f t="shared" si="4"/>
        <v>0.2405734589</v>
      </c>
      <c r="M441" s="55">
        <v>0.269230769</v>
      </c>
      <c r="N441" s="56">
        <f t="shared" si="5"/>
        <v>0.02514637532</v>
      </c>
      <c r="O441" s="57">
        <v>0.61</v>
      </c>
      <c r="P441" s="24">
        <v>24529.0</v>
      </c>
      <c r="Q441" s="24">
        <v>4689.0</v>
      </c>
      <c r="R441" s="24">
        <v>6361.0</v>
      </c>
      <c r="S441" s="24">
        <v>254.0</v>
      </c>
      <c r="T441" s="24">
        <v>1516.0</v>
      </c>
      <c r="U441" s="24">
        <v>24.6523</v>
      </c>
      <c r="V441" s="24">
        <v>4.7126</v>
      </c>
      <c r="W441" s="24">
        <v>6.393</v>
      </c>
      <c r="X441" s="24">
        <v>0.2553</v>
      </c>
      <c r="Y441" s="24">
        <v>1.5236</v>
      </c>
      <c r="Z441" s="24">
        <v>101.0</v>
      </c>
      <c r="AA441" s="24">
        <v>22.0</v>
      </c>
      <c r="AB441" s="24">
        <v>4.7</v>
      </c>
      <c r="AC441" s="24">
        <v>42.7</v>
      </c>
      <c r="AD441" s="24">
        <v>7.7</v>
      </c>
      <c r="AE441" s="24">
        <v>1.1762</v>
      </c>
      <c r="AF441" s="24">
        <v>1.721311</v>
      </c>
      <c r="AG441" s="24">
        <v>1.246753</v>
      </c>
      <c r="AH441" s="24">
        <v>1.191489</v>
      </c>
      <c r="AI441" s="24">
        <v>1.222727</v>
      </c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</row>
    <row r="442">
      <c r="A442" s="51" t="s">
        <v>55</v>
      </c>
      <c r="B442" s="51" t="s">
        <v>104</v>
      </c>
      <c r="C442" s="24">
        <v>2015.0</v>
      </c>
      <c r="D442" s="24">
        <v>0.0804</v>
      </c>
      <c r="E442" s="52">
        <v>23.8</v>
      </c>
      <c r="F442" s="53">
        <f t="shared" si="1"/>
        <v>2.27326176</v>
      </c>
      <c r="G442" s="52">
        <v>7.7</v>
      </c>
      <c r="H442" s="54">
        <f t="shared" si="2"/>
        <v>0.7569658312</v>
      </c>
      <c r="I442" s="52">
        <v>4.3</v>
      </c>
      <c r="J442" s="54">
        <f t="shared" si="3"/>
        <v>0.5868458712</v>
      </c>
      <c r="K442" s="55">
        <v>3.05625</v>
      </c>
      <c r="L442" s="54">
        <f t="shared" si="4"/>
        <v>0.306355264</v>
      </c>
      <c r="M442" s="55">
        <v>0.3</v>
      </c>
      <c r="N442" s="56">
        <f t="shared" si="5"/>
        <v>0.02814000804</v>
      </c>
      <c r="O442" s="57">
        <v>0.638</v>
      </c>
      <c r="P442" s="24">
        <v>24529.0</v>
      </c>
      <c r="Q442" s="24">
        <v>4689.0</v>
      </c>
      <c r="R442" s="24">
        <v>6361.0</v>
      </c>
      <c r="S442" s="24">
        <v>254.0</v>
      </c>
      <c r="T442" s="24">
        <v>1516.0</v>
      </c>
      <c r="U442" s="24">
        <v>24.6523</v>
      </c>
      <c r="V442" s="24">
        <v>4.7126</v>
      </c>
      <c r="W442" s="24">
        <v>6.393</v>
      </c>
      <c r="X442" s="24">
        <v>0.2553</v>
      </c>
      <c r="Y442" s="24">
        <v>1.5236</v>
      </c>
      <c r="Z442" s="24">
        <v>100.0</v>
      </c>
      <c r="AA442" s="24">
        <v>22.0</v>
      </c>
      <c r="AB442" s="24">
        <v>4.8</v>
      </c>
      <c r="AC442" s="24">
        <v>43.3</v>
      </c>
      <c r="AD442" s="24">
        <v>7.7</v>
      </c>
      <c r="AE442" s="24">
        <v>1.188</v>
      </c>
      <c r="AF442" s="24">
        <v>1.69746</v>
      </c>
      <c r="AG442" s="24">
        <v>1.246753</v>
      </c>
      <c r="AH442" s="24">
        <v>1.166667</v>
      </c>
      <c r="AI442" s="24">
        <v>1.222727</v>
      </c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</row>
    <row r="443">
      <c r="A443" s="51" t="s">
        <v>55</v>
      </c>
      <c r="B443" s="51" t="s">
        <v>104</v>
      </c>
      <c r="C443" s="24">
        <v>2016.0</v>
      </c>
      <c r="D443" s="24">
        <v>0.0794</v>
      </c>
      <c r="E443" s="52">
        <v>30.1</v>
      </c>
      <c r="F443" s="53">
        <f t="shared" si="1"/>
        <v>2.764682592</v>
      </c>
      <c r="G443" s="52">
        <v>6.7</v>
      </c>
      <c r="H443" s="54">
        <f t="shared" si="2"/>
        <v>0.6417157704</v>
      </c>
      <c r="I443" s="52">
        <v>5.4</v>
      </c>
      <c r="J443" s="54">
        <f t="shared" si="3"/>
        <v>0.7194944383</v>
      </c>
      <c r="K443" s="55">
        <v>3.208860759</v>
      </c>
      <c r="L443" s="54">
        <f t="shared" si="4"/>
        <v>0.313579688</v>
      </c>
      <c r="M443" s="55">
        <v>0.284810127</v>
      </c>
      <c r="N443" s="56">
        <f t="shared" si="5"/>
        <v>0.02532759497</v>
      </c>
      <c r="O443" s="57">
        <v>0.669</v>
      </c>
      <c r="P443" s="24">
        <v>24529.0</v>
      </c>
      <c r="Q443" s="24">
        <v>4689.0</v>
      </c>
      <c r="R443" s="24">
        <v>6361.0</v>
      </c>
      <c r="S443" s="24">
        <v>254.0</v>
      </c>
      <c r="T443" s="24">
        <v>1516.0</v>
      </c>
      <c r="U443" s="24">
        <v>24.6523</v>
      </c>
      <c r="V443" s="24">
        <v>4.7126</v>
      </c>
      <c r="W443" s="24">
        <v>6.393</v>
      </c>
      <c r="X443" s="24">
        <v>0.2553</v>
      </c>
      <c r="Y443" s="24">
        <v>1.5236</v>
      </c>
      <c r="Z443" s="24">
        <v>102.7</v>
      </c>
      <c r="AA443" s="24">
        <v>22.3</v>
      </c>
      <c r="AB443" s="24">
        <v>5.0</v>
      </c>
      <c r="AC443" s="24">
        <v>43.8</v>
      </c>
      <c r="AD443" s="24">
        <v>7.8</v>
      </c>
      <c r="AE443" s="24">
        <v>1.1568</v>
      </c>
      <c r="AF443" s="24">
        <v>1.678082</v>
      </c>
      <c r="AG443" s="24">
        <v>1.230769</v>
      </c>
      <c r="AH443" s="24">
        <v>1.12</v>
      </c>
      <c r="AI443" s="24">
        <v>1.206278</v>
      </c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</row>
    <row r="444">
      <c r="A444" s="51" t="s">
        <v>55</v>
      </c>
      <c r="B444" s="51" t="s">
        <v>104</v>
      </c>
      <c r="C444" s="24">
        <v>2017.0</v>
      </c>
      <c r="D444" s="24">
        <v>0.0794</v>
      </c>
      <c r="E444" s="52">
        <v>25.3</v>
      </c>
      <c r="F444" s="53">
        <f t="shared" si="1"/>
        <v>2.2599225</v>
      </c>
      <c r="G444" s="52">
        <v>6.6</v>
      </c>
      <c r="H444" s="54">
        <f t="shared" si="2"/>
        <v>0.6237464706</v>
      </c>
      <c r="I444" s="52">
        <v>4.5</v>
      </c>
      <c r="J444" s="54">
        <f t="shared" si="3"/>
        <v>0.6037137315</v>
      </c>
      <c r="K444" s="55">
        <v>2.696202532</v>
      </c>
      <c r="L444" s="54">
        <f t="shared" si="4"/>
        <v>0.2669029885</v>
      </c>
      <c r="M444" s="55">
        <v>0.32278481</v>
      </c>
      <c r="N444" s="56">
        <f t="shared" si="5"/>
        <v>0.03053680731</v>
      </c>
      <c r="O444" s="57">
        <v>0.624</v>
      </c>
      <c r="P444" s="24">
        <v>24529.0</v>
      </c>
      <c r="Q444" s="24">
        <v>4689.0</v>
      </c>
      <c r="R444" s="24">
        <v>6361.0</v>
      </c>
      <c r="S444" s="24">
        <v>254.0</v>
      </c>
      <c r="T444" s="24">
        <v>1516.0</v>
      </c>
      <c r="U444" s="24">
        <v>24.6523</v>
      </c>
      <c r="V444" s="24">
        <v>4.7126</v>
      </c>
      <c r="W444" s="24">
        <v>6.393</v>
      </c>
      <c r="X444" s="24">
        <v>0.2553</v>
      </c>
      <c r="Y444" s="24">
        <v>1.5236</v>
      </c>
      <c r="Z444" s="24">
        <v>105.6</v>
      </c>
      <c r="AA444" s="24">
        <v>22.6</v>
      </c>
      <c r="AB444" s="24">
        <v>4.7</v>
      </c>
      <c r="AC444" s="24">
        <v>43.5</v>
      </c>
      <c r="AD444" s="24">
        <v>7.7</v>
      </c>
      <c r="AE444" s="24">
        <v>1.125</v>
      </c>
      <c r="AF444" s="24">
        <v>1.689655</v>
      </c>
      <c r="AG444" s="24">
        <v>1.246753</v>
      </c>
      <c r="AH444" s="24">
        <v>1.191489</v>
      </c>
      <c r="AI444" s="24">
        <v>1.190265</v>
      </c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8"/>
    </row>
    <row r="445">
      <c r="A445" s="51" t="s">
        <v>55</v>
      </c>
      <c r="B445" s="51" t="s">
        <v>104</v>
      </c>
      <c r="C445" s="24">
        <v>2018.0</v>
      </c>
      <c r="D445" s="24">
        <v>0.05126</v>
      </c>
      <c r="E445" s="52">
        <v>26.4</v>
      </c>
      <c r="F445" s="53">
        <f t="shared" si="1"/>
        <v>1.512407846</v>
      </c>
      <c r="G445" s="52">
        <v>6.1</v>
      </c>
      <c r="H445" s="54">
        <f t="shared" si="2"/>
        <v>0.3625541013</v>
      </c>
      <c r="I445" s="52">
        <v>5.1</v>
      </c>
      <c r="J445" s="54">
        <f t="shared" si="3"/>
        <v>0.441719748</v>
      </c>
      <c r="K445" s="55">
        <v>2.352941176</v>
      </c>
      <c r="L445" s="54">
        <f t="shared" si="4"/>
        <v>0.1503730795</v>
      </c>
      <c r="M445" s="55">
        <v>0.235294118</v>
      </c>
      <c r="N445" s="56">
        <f t="shared" si="5"/>
        <v>0.01407137659</v>
      </c>
      <c r="O445" s="57">
        <v>0.675</v>
      </c>
      <c r="P445" s="24">
        <v>24529.0</v>
      </c>
      <c r="Q445" s="24">
        <v>4689.0</v>
      </c>
      <c r="R445" s="24">
        <v>6361.0</v>
      </c>
      <c r="S445" s="24">
        <v>254.0</v>
      </c>
      <c r="T445" s="24">
        <v>1516.0</v>
      </c>
      <c r="U445" s="24">
        <v>24.6523</v>
      </c>
      <c r="V445" s="24">
        <v>4.7126</v>
      </c>
      <c r="W445" s="24">
        <v>6.393</v>
      </c>
      <c r="X445" s="24">
        <v>0.2553</v>
      </c>
      <c r="Y445" s="24">
        <v>1.5236</v>
      </c>
      <c r="Z445" s="24">
        <v>106.3</v>
      </c>
      <c r="AA445" s="24">
        <v>23.2</v>
      </c>
      <c r="AB445" s="24">
        <v>4.8</v>
      </c>
      <c r="AC445" s="24">
        <v>43.5</v>
      </c>
      <c r="AD445" s="24">
        <v>7.7</v>
      </c>
      <c r="AE445" s="24">
        <v>1.1176</v>
      </c>
      <c r="AF445" s="24">
        <v>1.689655</v>
      </c>
      <c r="AG445" s="24">
        <v>1.246753</v>
      </c>
      <c r="AH445" s="24">
        <v>1.166667</v>
      </c>
      <c r="AI445" s="24">
        <v>1.159483</v>
      </c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8"/>
    </row>
    <row r="446">
      <c r="A446" s="51" t="s">
        <v>55</v>
      </c>
      <c r="B446" s="51" t="s">
        <v>104</v>
      </c>
      <c r="C446" s="24">
        <v>2019.0</v>
      </c>
      <c r="D446" s="24">
        <v>0.06935</v>
      </c>
      <c r="E446" s="52">
        <v>27.3</v>
      </c>
      <c r="F446" s="53">
        <f t="shared" si="1"/>
        <v>2.022564317</v>
      </c>
      <c r="G446" s="52">
        <v>5.2</v>
      </c>
      <c r="H446" s="54">
        <f t="shared" si="2"/>
        <v>0.3943365275</v>
      </c>
      <c r="I446" s="52">
        <v>5.3</v>
      </c>
      <c r="J446" s="54">
        <f t="shared" si="3"/>
        <v>0.5976833908</v>
      </c>
      <c r="K446" s="55">
        <v>2.0</v>
      </c>
      <c r="L446" s="54">
        <f t="shared" si="4"/>
        <v>0.1752000146</v>
      </c>
      <c r="M446" s="55">
        <v>0.543478261</v>
      </c>
      <c r="N446" s="56">
        <f t="shared" si="5"/>
        <v>0.04221304349</v>
      </c>
      <c r="O446" s="57">
        <v>0.641</v>
      </c>
      <c r="P446" s="24">
        <v>24529.0</v>
      </c>
      <c r="Q446" s="24">
        <v>4689.0</v>
      </c>
      <c r="R446" s="24">
        <v>6361.0</v>
      </c>
      <c r="S446" s="24">
        <v>254.0</v>
      </c>
      <c r="T446" s="24">
        <v>1516.0</v>
      </c>
      <c r="U446" s="24">
        <v>24.6523</v>
      </c>
      <c r="V446" s="24">
        <v>4.7126</v>
      </c>
      <c r="W446" s="24">
        <v>6.393</v>
      </c>
      <c r="X446" s="24">
        <v>0.2553</v>
      </c>
      <c r="Y446" s="24">
        <v>1.5236</v>
      </c>
      <c r="Z446" s="24">
        <v>111.2</v>
      </c>
      <c r="AA446" s="24">
        <v>24.6</v>
      </c>
      <c r="AB446" s="24">
        <v>5.0</v>
      </c>
      <c r="AC446" s="24">
        <v>45.2</v>
      </c>
      <c r="AD446" s="24">
        <v>7.6</v>
      </c>
      <c r="AE446" s="24">
        <v>1.0683</v>
      </c>
      <c r="AF446" s="24">
        <v>1.626106</v>
      </c>
      <c r="AG446" s="24">
        <v>1.263158</v>
      </c>
      <c r="AH446" s="24">
        <v>1.12</v>
      </c>
      <c r="AI446" s="24">
        <v>1.093496</v>
      </c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</row>
    <row r="447">
      <c r="A447" s="51" t="s">
        <v>55</v>
      </c>
      <c r="B447" s="51" t="s">
        <v>104</v>
      </c>
      <c r="C447" s="24">
        <v>2020.0</v>
      </c>
      <c r="D447" s="24">
        <v>0.00503</v>
      </c>
      <c r="E447" s="52">
        <v>20.8</v>
      </c>
      <c r="F447" s="53">
        <f t="shared" si="1"/>
        <v>0.1111734624</v>
      </c>
      <c r="G447" s="52">
        <v>6.6</v>
      </c>
      <c r="H447" s="54">
        <f t="shared" si="2"/>
        <v>0.03659943388</v>
      </c>
      <c r="I447" s="52">
        <v>5.2</v>
      </c>
      <c r="J447" s="54">
        <f t="shared" si="3"/>
        <v>0.0429121875</v>
      </c>
      <c r="K447" s="55">
        <v>1.5</v>
      </c>
      <c r="L447" s="54">
        <f t="shared" si="4"/>
        <v>0.00953052711</v>
      </c>
      <c r="M447" s="55">
        <v>0.6</v>
      </c>
      <c r="N447" s="56">
        <f t="shared" si="5"/>
        <v>0.003449142426</v>
      </c>
      <c r="O447" s="57">
        <v>0.557</v>
      </c>
      <c r="P447" s="24">
        <v>24529.0</v>
      </c>
      <c r="Q447" s="24">
        <v>4689.0</v>
      </c>
      <c r="R447" s="24">
        <v>6361.0</v>
      </c>
      <c r="S447" s="24">
        <v>254.0</v>
      </c>
      <c r="T447" s="24">
        <v>1516.0</v>
      </c>
      <c r="U447" s="24">
        <v>24.6523</v>
      </c>
      <c r="V447" s="24">
        <v>4.7126</v>
      </c>
      <c r="W447" s="24">
        <v>6.393</v>
      </c>
      <c r="X447" s="24">
        <v>0.2553</v>
      </c>
      <c r="Y447" s="24">
        <v>1.5236</v>
      </c>
      <c r="Z447" s="24">
        <v>111.8</v>
      </c>
      <c r="AA447" s="24">
        <v>24.4</v>
      </c>
      <c r="AB447" s="24">
        <v>4.9</v>
      </c>
      <c r="AC447" s="24">
        <v>44.8</v>
      </c>
      <c r="AD447" s="24">
        <v>7.6</v>
      </c>
      <c r="AE447" s="24">
        <v>1.0626</v>
      </c>
      <c r="AF447" s="24">
        <v>1.640625</v>
      </c>
      <c r="AG447" s="24">
        <v>1.263158</v>
      </c>
      <c r="AH447" s="24">
        <v>1.142857</v>
      </c>
      <c r="AI447" s="24">
        <v>1.102459</v>
      </c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</row>
    <row r="448">
      <c r="A448" s="51" t="s">
        <v>55</v>
      </c>
      <c r="B448" s="51" t="s">
        <v>104</v>
      </c>
      <c r="C448" s="24">
        <v>2021.0</v>
      </c>
      <c r="D448" s="24">
        <v>0.06332</v>
      </c>
      <c r="E448" s="52">
        <v>32.0</v>
      </c>
      <c r="F448" s="53">
        <f t="shared" si="1"/>
        <v>2.147409152</v>
      </c>
      <c r="G448" s="52">
        <v>5.8</v>
      </c>
      <c r="H448" s="54">
        <f t="shared" si="2"/>
        <v>0.3983541363</v>
      </c>
      <c r="I448" s="52">
        <v>5.5</v>
      </c>
      <c r="J448" s="54">
        <f t="shared" si="3"/>
        <v>0.5778127929</v>
      </c>
      <c r="K448" s="55">
        <v>1.833333333</v>
      </c>
      <c r="L448" s="54">
        <f t="shared" si="4"/>
        <v>0.1466358017</v>
      </c>
      <c r="M448" s="55">
        <v>0.19047619</v>
      </c>
      <c r="N448" s="56">
        <f t="shared" si="5"/>
        <v>0.01378394382</v>
      </c>
      <c r="O448" s="57">
        <v>0.655</v>
      </c>
      <c r="P448" s="24">
        <v>24529.0</v>
      </c>
      <c r="Q448" s="24">
        <v>4689.0</v>
      </c>
      <c r="R448" s="24">
        <v>6361.0</v>
      </c>
      <c r="S448" s="24">
        <v>254.0</v>
      </c>
      <c r="T448" s="24">
        <v>1516.0</v>
      </c>
      <c r="U448" s="24">
        <v>24.6523</v>
      </c>
      <c r="V448" s="24">
        <v>4.7126</v>
      </c>
      <c r="W448" s="24">
        <v>6.393</v>
      </c>
      <c r="X448" s="24">
        <v>0.2553</v>
      </c>
      <c r="Y448" s="24">
        <v>1.5236</v>
      </c>
      <c r="Z448" s="24">
        <v>112.1</v>
      </c>
      <c r="AA448" s="24">
        <v>24.8</v>
      </c>
      <c r="AB448" s="24">
        <v>4.9</v>
      </c>
      <c r="AC448" s="24">
        <v>44.3</v>
      </c>
      <c r="AD448" s="24">
        <v>7.6</v>
      </c>
      <c r="AE448" s="24">
        <v>1.0598</v>
      </c>
      <c r="AF448" s="24">
        <v>1.659142</v>
      </c>
      <c r="AG448" s="24">
        <v>1.263158</v>
      </c>
      <c r="AH448" s="24">
        <v>1.142857</v>
      </c>
      <c r="AI448" s="24">
        <v>1.084677</v>
      </c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</row>
    <row r="449">
      <c r="A449" s="51" t="s">
        <v>55</v>
      </c>
      <c r="B449" s="51" t="s">
        <v>104</v>
      </c>
      <c r="C449" s="24">
        <v>2022.0</v>
      </c>
      <c r="D449" s="24">
        <v>0.06432</v>
      </c>
      <c r="E449" s="52">
        <v>25.5</v>
      </c>
      <c r="F449" s="53">
        <f t="shared" si="1"/>
        <v>1.761695856</v>
      </c>
      <c r="G449" s="52">
        <v>6.3</v>
      </c>
      <c r="H449" s="54">
        <f t="shared" si="2"/>
        <v>0.4431020751</v>
      </c>
      <c r="I449" s="52">
        <v>5.2</v>
      </c>
      <c r="J449" s="54">
        <f t="shared" si="3"/>
        <v>0.5524291718</v>
      </c>
      <c r="K449" s="55">
        <v>1.9921875</v>
      </c>
      <c r="L449" s="54">
        <f t="shared" si="4"/>
        <v>0.1618579082</v>
      </c>
      <c r="M449" s="55">
        <v>0.5390625</v>
      </c>
      <c r="N449" s="56">
        <f t="shared" si="5"/>
        <v>0.04131190235</v>
      </c>
      <c r="O449" s="57">
        <v>0.601</v>
      </c>
      <c r="P449" s="24">
        <v>24529.0</v>
      </c>
      <c r="Q449" s="24">
        <v>4689.0</v>
      </c>
      <c r="R449" s="24">
        <v>6361.0</v>
      </c>
      <c r="S449" s="24">
        <v>254.0</v>
      </c>
      <c r="T449" s="24">
        <v>1516.0</v>
      </c>
      <c r="U449" s="24">
        <v>24.6523</v>
      </c>
      <c r="V449" s="24">
        <v>4.7126</v>
      </c>
      <c r="W449" s="24">
        <v>6.393</v>
      </c>
      <c r="X449" s="24">
        <v>0.2553</v>
      </c>
      <c r="Y449" s="24">
        <v>1.5236</v>
      </c>
      <c r="Z449" s="24">
        <v>110.6</v>
      </c>
      <c r="AA449" s="24">
        <v>24.6</v>
      </c>
      <c r="AB449" s="24">
        <v>4.7</v>
      </c>
      <c r="AC449" s="24">
        <v>44.5</v>
      </c>
      <c r="AD449" s="24">
        <v>7.6</v>
      </c>
      <c r="AE449" s="24">
        <v>1.0741</v>
      </c>
      <c r="AF449" s="24">
        <v>1.651685</v>
      </c>
      <c r="AG449" s="24">
        <v>1.263158</v>
      </c>
      <c r="AH449" s="24">
        <v>1.191489</v>
      </c>
      <c r="AI449" s="24">
        <v>1.093496</v>
      </c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</row>
    <row r="450">
      <c r="A450" s="51" t="s">
        <v>55</v>
      </c>
      <c r="B450" s="51" t="s">
        <v>104</v>
      </c>
      <c r="C450" s="24">
        <v>2023.0</v>
      </c>
      <c r="D450" s="24">
        <v>0.05628</v>
      </c>
      <c r="E450" s="52">
        <v>29.4</v>
      </c>
      <c r="F450" s="53">
        <f t="shared" si="1"/>
        <v>1.713702362</v>
      </c>
      <c r="G450" s="52">
        <v>6.3</v>
      </c>
      <c r="H450" s="54">
        <f t="shared" si="2"/>
        <v>0.3769869819</v>
      </c>
      <c r="I450" s="52">
        <v>6.1</v>
      </c>
      <c r="J450" s="54">
        <f t="shared" si="3"/>
        <v>0.5814085768</v>
      </c>
      <c r="K450" s="55">
        <v>1.392857143</v>
      </c>
      <c r="L450" s="54">
        <f t="shared" si="4"/>
        <v>0.1030881805</v>
      </c>
      <c r="M450" s="55">
        <v>0.535714286</v>
      </c>
      <c r="N450" s="56">
        <f t="shared" si="5"/>
        <v>0.03592339337</v>
      </c>
      <c r="O450" s="57">
        <v>0.656</v>
      </c>
      <c r="P450" s="24">
        <v>24529.0</v>
      </c>
      <c r="Q450" s="24">
        <v>4689.0</v>
      </c>
      <c r="R450" s="24">
        <v>6361.0</v>
      </c>
      <c r="S450" s="24">
        <v>254.0</v>
      </c>
      <c r="T450" s="24">
        <v>1516.0</v>
      </c>
      <c r="U450" s="24">
        <v>24.6523</v>
      </c>
      <c r="V450" s="24">
        <v>4.7126</v>
      </c>
      <c r="W450" s="24">
        <v>6.393</v>
      </c>
      <c r="X450" s="24">
        <v>0.2553</v>
      </c>
      <c r="Y450" s="24">
        <v>1.5236</v>
      </c>
      <c r="Z450" s="24">
        <v>114.7</v>
      </c>
      <c r="AA450" s="24">
        <v>25.3</v>
      </c>
      <c r="AB450" s="24">
        <v>4.7</v>
      </c>
      <c r="AC450" s="24">
        <v>43.4</v>
      </c>
      <c r="AD450" s="24">
        <v>7.3</v>
      </c>
      <c r="AE450" s="24">
        <v>1.0357</v>
      </c>
      <c r="AF450" s="24">
        <v>1.693548</v>
      </c>
      <c r="AG450" s="24">
        <v>1.315068</v>
      </c>
      <c r="AH450" s="24">
        <v>1.191489</v>
      </c>
      <c r="AI450" s="24">
        <v>1.063241</v>
      </c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</row>
    <row r="451">
      <c r="A451" s="51" t="s">
        <v>55</v>
      </c>
      <c r="B451" s="51" t="s">
        <v>104</v>
      </c>
      <c r="C451" s="24">
        <v>2024.0</v>
      </c>
      <c r="D451" s="24">
        <v>0.07437</v>
      </c>
      <c r="E451" s="52">
        <v>26.4</v>
      </c>
      <c r="F451" s="53">
        <f t="shared" si="1"/>
        <v>2.04249173</v>
      </c>
      <c r="G451" s="52">
        <v>5.1</v>
      </c>
      <c r="H451" s="54">
        <f t="shared" si="2"/>
        <v>0.3821282389</v>
      </c>
      <c r="I451" s="52">
        <v>4.5</v>
      </c>
      <c r="J451" s="54">
        <f t="shared" si="3"/>
        <v>0.5654683906</v>
      </c>
      <c r="K451" s="55">
        <v>1.094594595</v>
      </c>
      <c r="L451" s="54">
        <f t="shared" si="4"/>
        <v>0.1041984</v>
      </c>
      <c r="M451" s="55">
        <v>0.567567568</v>
      </c>
      <c r="N451" s="56">
        <f t="shared" si="5"/>
        <v>0.04634822623</v>
      </c>
      <c r="O451" s="57">
        <v>0.616</v>
      </c>
      <c r="P451" s="24">
        <v>24529.0</v>
      </c>
      <c r="Q451" s="24">
        <v>4689.0</v>
      </c>
      <c r="R451" s="24">
        <v>6361.0</v>
      </c>
      <c r="S451" s="24">
        <v>254.0</v>
      </c>
      <c r="T451" s="24">
        <v>1516.0</v>
      </c>
      <c r="U451" s="24">
        <v>24.6523</v>
      </c>
      <c r="V451" s="24">
        <v>4.7126</v>
      </c>
      <c r="W451" s="24">
        <v>6.393</v>
      </c>
      <c r="X451" s="24">
        <v>0.2553</v>
      </c>
      <c r="Y451" s="24">
        <v>1.5236</v>
      </c>
      <c r="Z451" s="24">
        <v>114.2</v>
      </c>
      <c r="AA451" s="24">
        <v>26.7</v>
      </c>
      <c r="AB451" s="24">
        <v>5.1</v>
      </c>
      <c r="AC451" s="24">
        <v>43.5</v>
      </c>
      <c r="AD451" s="24">
        <v>7.5</v>
      </c>
      <c r="AE451" s="24">
        <v>1.0403</v>
      </c>
      <c r="AF451" s="24">
        <v>1.689655</v>
      </c>
      <c r="AG451" s="24">
        <v>1.28</v>
      </c>
      <c r="AH451" s="24">
        <v>1.098039</v>
      </c>
      <c r="AI451" s="24">
        <v>1.007491</v>
      </c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8"/>
    </row>
    <row r="452">
      <c r="A452" s="51" t="s">
        <v>55</v>
      </c>
      <c r="B452" s="51" t="s">
        <v>104</v>
      </c>
      <c r="C452" s="24">
        <v>2025.0</v>
      </c>
      <c r="D452" s="24">
        <v>0.0392</v>
      </c>
      <c r="E452" s="52">
        <v>22.1</v>
      </c>
      <c r="F452" s="53">
        <f t="shared" si="1"/>
        <v>0.904351448</v>
      </c>
      <c r="G452" s="52">
        <v>6.2</v>
      </c>
      <c r="H452" s="54">
        <f t="shared" si="2"/>
        <v>0.2467084458</v>
      </c>
      <c r="I452" s="52">
        <v>4.6</v>
      </c>
      <c r="J452" s="54">
        <f t="shared" si="3"/>
        <v>0.3005333934</v>
      </c>
      <c r="K452" s="55">
        <v>1.653846154</v>
      </c>
      <c r="L452" s="54">
        <f t="shared" si="4"/>
        <v>0.07589945613</v>
      </c>
      <c r="M452" s="55">
        <v>0.730769231</v>
      </c>
      <c r="N452" s="56">
        <f t="shared" si="5"/>
        <v>0.03273845746</v>
      </c>
      <c r="O452" s="57">
        <v>0.604</v>
      </c>
      <c r="P452" s="24">
        <v>24529.0</v>
      </c>
      <c r="Q452" s="24">
        <v>4689.0</v>
      </c>
      <c r="R452" s="24">
        <v>6361.0</v>
      </c>
      <c r="S452" s="24">
        <v>254.0</v>
      </c>
      <c r="T452" s="24">
        <v>1516.0</v>
      </c>
      <c r="U452" s="24">
        <v>24.6523</v>
      </c>
      <c r="V452" s="24">
        <v>4.7126</v>
      </c>
      <c r="W452" s="24">
        <v>6.393</v>
      </c>
      <c r="X452" s="24">
        <v>0.2553</v>
      </c>
      <c r="Y452" s="24">
        <v>1.5236</v>
      </c>
      <c r="Z452" s="24">
        <v>113.8</v>
      </c>
      <c r="AA452" s="24">
        <v>26.5</v>
      </c>
      <c r="AB452" s="24">
        <v>4.9</v>
      </c>
      <c r="AC452" s="24">
        <v>44.1</v>
      </c>
      <c r="AD452" s="24">
        <v>8.2</v>
      </c>
      <c r="AE452" s="24">
        <v>1.0439</v>
      </c>
      <c r="AF452" s="24">
        <v>1.666667</v>
      </c>
      <c r="AG452" s="24">
        <v>1.170732</v>
      </c>
      <c r="AH452" s="24">
        <v>1.142857</v>
      </c>
      <c r="AI452" s="24">
        <v>1.015094</v>
      </c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</row>
    <row r="453">
      <c r="A453" s="51" t="s">
        <v>51</v>
      </c>
      <c r="B453" s="51" t="s">
        <v>111</v>
      </c>
      <c r="C453" s="24">
        <v>1998.0</v>
      </c>
      <c r="D453" s="24">
        <v>0.05891</v>
      </c>
      <c r="E453" s="52">
        <v>21.1</v>
      </c>
      <c r="F453" s="53">
        <f t="shared" si="1"/>
        <v>1.544677343</v>
      </c>
      <c r="G453" s="52">
        <v>2.7</v>
      </c>
      <c r="H453" s="54">
        <f t="shared" si="2"/>
        <v>0.1944832884</v>
      </c>
      <c r="I453" s="52">
        <v>11.9</v>
      </c>
      <c r="J453" s="54">
        <f t="shared" si="3"/>
        <v>1.241581245</v>
      </c>
      <c r="K453" s="55">
        <v>1.006097561</v>
      </c>
      <c r="L453" s="54">
        <f t="shared" si="4"/>
        <v>0.06773622847</v>
      </c>
      <c r="M453" s="55">
        <v>3.768292683</v>
      </c>
      <c r="N453" s="56">
        <f t="shared" si="5"/>
        <v>0.2437538115</v>
      </c>
      <c r="O453" s="57">
        <v>0.577</v>
      </c>
      <c r="P453" s="24">
        <v>26496.0</v>
      </c>
      <c r="Q453" s="24">
        <v>15091.0</v>
      </c>
      <c r="R453" s="24">
        <v>4225.0</v>
      </c>
      <c r="S453" s="24">
        <v>3020.0</v>
      </c>
      <c r="T453" s="24">
        <v>1025.0</v>
      </c>
      <c r="U453" s="24">
        <v>19.0345</v>
      </c>
      <c r="V453" s="24">
        <v>10.8412</v>
      </c>
      <c r="W453" s="24">
        <v>3.0352</v>
      </c>
      <c r="X453" s="24">
        <v>2.1695</v>
      </c>
      <c r="Y453" s="24">
        <v>0.7364</v>
      </c>
      <c r="Z453" s="24">
        <v>95.6</v>
      </c>
      <c r="AA453" s="24">
        <v>22.0</v>
      </c>
      <c r="AB453" s="24">
        <v>5.1</v>
      </c>
      <c r="AC453" s="24">
        <v>41.5</v>
      </c>
      <c r="AD453" s="24">
        <v>8.4</v>
      </c>
      <c r="AE453" s="24">
        <v>1.2427</v>
      </c>
      <c r="AF453" s="24">
        <v>1.771084</v>
      </c>
      <c r="AG453" s="24">
        <v>1.142857</v>
      </c>
      <c r="AH453" s="24">
        <v>1.098039</v>
      </c>
      <c r="AI453" s="24">
        <v>1.222727</v>
      </c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</row>
    <row r="454">
      <c r="A454" s="51" t="s">
        <v>51</v>
      </c>
      <c r="B454" s="51" t="s">
        <v>111</v>
      </c>
      <c r="C454" s="24">
        <v>1999.0</v>
      </c>
      <c r="D454" s="24">
        <v>0.03592</v>
      </c>
      <c r="E454" s="52">
        <v>21.7</v>
      </c>
      <c r="F454" s="53">
        <f t="shared" si="1"/>
        <v>1.010886862</v>
      </c>
      <c r="G454" s="52">
        <v>2.4</v>
      </c>
      <c r="H454" s="54">
        <f t="shared" si="2"/>
        <v>0.1120287615</v>
      </c>
      <c r="I454" s="52">
        <v>11.4</v>
      </c>
      <c r="J454" s="54">
        <f t="shared" si="3"/>
        <v>0.7217594539</v>
      </c>
      <c r="K454" s="55">
        <v>1.35</v>
      </c>
      <c r="L454" s="54">
        <f t="shared" si="4"/>
        <v>0.05541942164</v>
      </c>
      <c r="M454" s="55">
        <v>3.78</v>
      </c>
      <c r="N454" s="56">
        <f t="shared" si="5"/>
        <v>0.152070912</v>
      </c>
      <c r="O454" s="57">
        <v>0.541</v>
      </c>
      <c r="P454" s="24">
        <v>26496.0</v>
      </c>
      <c r="Q454" s="24">
        <v>15091.0</v>
      </c>
      <c r="R454" s="24">
        <v>4225.0</v>
      </c>
      <c r="S454" s="24">
        <v>3020.0</v>
      </c>
      <c r="T454" s="24">
        <v>1025.0</v>
      </c>
      <c r="U454" s="24">
        <v>19.0345</v>
      </c>
      <c r="V454" s="24">
        <v>10.8412</v>
      </c>
      <c r="W454" s="24">
        <v>3.0352</v>
      </c>
      <c r="X454" s="24">
        <v>2.1695</v>
      </c>
      <c r="Y454" s="24">
        <v>0.7364</v>
      </c>
      <c r="Z454" s="24">
        <v>91.6</v>
      </c>
      <c r="AA454" s="24">
        <v>20.7</v>
      </c>
      <c r="AB454" s="24">
        <v>5.0</v>
      </c>
      <c r="AC454" s="24">
        <v>41.7</v>
      </c>
      <c r="AD454" s="24">
        <v>8.4</v>
      </c>
      <c r="AE454" s="24">
        <v>1.2969</v>
      </c>
      <c r="AF454" s="24">
        <v>1.76259</v>
      </c>
      <c r="AG454" s="24">
        <v>1.142857</v>
      </c>
      <c r="AH454" s="24">
        <v>1.12</v>
      </c>
      <c r="AI454" s="24">
        <v>1.299517</v>
      </c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</row>
    <row r="455">
      <c r="A455" s="51" t="s">
        <v>51</v>
      </c>
      <c r="B455" s="51" t="s">
        <v>111</v>
      </c>
      <c r="C455" s="24">
        <v>2000.0</v>
      </c>
      <c r="D455" s="24">
        <v>0.05316</v>
      </c>
      <c r="E455" s="52">
        <v>23.2</v>
      </c>
      <c r="F455" s="53">
        <f t="shared" si="1"/>
        <v>1.502790672</v>
      </c>
      <c r="G455" s="52">
        <v>3.2</v>
      </c>
      <c r="H455" s="54">
        <f t="shared" si="2"/>
        <v>0.2052023631</v>
      </c>
      <c r="I455" s="52">
        <v>12.4</v>
      </c>
      <c r="J455" s="54">
        <f t="shared" si="3"/>
        <v>1.129371378</v>
      </c>
      <c r="K455" s="55">
        <v>1.337837838</v>
      </c>
      <c r="L455" s="54">
        <f t="shared" si="4"/>
        <v>0.08642365595</v>
      </c>
      <c r="M455" s="55">
        <v>3.344594595</v>
      </c>
      <c r="N455" s="56">
        <f t="shared" si="5"/>
        <v>0.1914754541</v>
      </c>
      <c r="O455" s="57">
        <v>0.555</v>
      </c>
      <c r="P455" s="24">
        <v>26496.0</v>
      </c>
      <c r="Q455" s="24">
        <v>15091.0</v>
      </c>
      <c r="R455" s="24">
        <v>4225.0</v>
      </c>
      <c r="S455" s="24">
        <v>3020.0</v>
      </c>
      <c r="T455" s="24">
        <v>1025.0</v>
      </c>
      <c r="U455" s="24">
        <v>19.0345</v>
      </c>
      <c r="V455" s="24">
        <v>10.8412</v>
      </c>
      <c r="W455" s="24">
        <v>3.0352</v>
      </c>
      <c r="X455" s="24">
        <v>2.1695</v>
      </c>
      <c r="Y455" s="24">
        <v>0.7364</v>
      </c>
      <c r="Z455" s="24">
        <v>97.5</v>
      </c>
      <c r="AA455" s="24">
        <v>22.3</v>
      </c>
      <c r="AB455" s="24">
        <v>5.2</v>
      </c>
      <c r="AC455" s="24">
        <v>42.9</v>
      </c>
      <c r="AD455" s="24">
        <v>7.9</v>
      </c>
      <c r="AE455" s="24">
        <v>1.2185</v>
      </c>
      <c r="AF455" s="24">
        <v>1.713287</v>
      </c>
      <c r="AG455" s="24">
        <v>1.21519</v>
      </c>
      <c r="AH455" s="24">
        <v>1.076923</v>
      </c>
      <c r="AI455" s="24">
        <v>1.206278</v>
      </c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</row>
    <row r="456">
      <c r="A456" s="51" t="s">
        <v>51</v>
      </c>
      <c r="B456" s="51" t="s">
        <v>111</v>
      </c>
      <c r="C456" s="24">
        <v>2001.0</v>
      </c>
      <c r="D456" s="24">
        <v>0.05891</v>
      </c>
      <c r="E456" s="52">
        <v>22.2</v>
      </c>
      <c r="F456" s="53">
        <f t="shared" si="1"/>
        <v>1.638937466</v>
      </c>
      <c r="G456" s="52">
        <v>3.0</v>
      </c>
      <c r="H456" s="54">
        <f t="shared" si="2"/>
        <v>0.2180750999</v>
      </c>
      <c r="I456" s="52">
        <v>12.2</v>
      </c>
      <c r="J456" s="54">
        <f t="shared" si="3"/>
        <v>1.242931863</v>
      </c>
      <c r="K456" s="55">
        <v>1.280487805</v>
      </c>
      <c r="L456" s="54">
        <f t="shared" si="4"/>
        <v>0.0928412584</v>
      </c>
      <c r="M456" s="55">
        <v>3.512195122</v>
      </c>
      <c r="N456" s="56">
        <f t="shared" si="5"/>
        <v>0.2186149755</v>
      </c>
      <c r="O456" s="57">
        <v>0.536</v>
      </c>
      <c r="P456" s="24">
        <v>26496.0</v>
      </c>
      <c r="Q456" s="24">
        <v>15091.0</v>
      </c>
      <c r="R456" s="24">
        <v>4225.0</v>
      </c>
      <c r="S456" s="24">
        <v>3020.0</v>
      </c>
      <c r="T456" s="24">
        <v>1025.0</v>
      </c>
      <c r="U456" s="24">
        <v>19.0345</v>
      </c>
      <c r="V456" s="24">
        <v>10.8412</v>
      </c>
      <c r="W456" s="24">
        <v>3.0352</v>
      </c>
      <c r="X456" s="24">
        <v>2.1695</v>
      </c>
      <c r="Y456" s="24">
        <v>0.7364</v>
      </c>
      <c r="Z456" s="24">
        <v>94.8</v>
      </c>
      <c r="AA456" s="24">
        <v>21.8</v>
      </c>
      <c r="AB456" s="24">
        <v>5.3</v>
      </c>
      <c r="AC456" s="24">
        <v>42.5</v>
      </c>
      <c r="AD456" s="24">
        <v>7.8</v>
      </c>
      <c r="AE456" s="24">
        <v>1.2532</v>
      </c>
      <c r="AF456" s="24">
        <v>1.729412</v>
      </c>
      <c r="AG456" s="24">
        <v>1.230769</v>
      </c>
      <c r="AH456" s="24">
        <v>1.056604</v>
      </c>
      <c r="AI456" s="24">
        <v>1.233945</v>
      </c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</row>
    <row r="457">
      <c r="A457" s="51" t="s">
        <v>51</v>
      </c>
      <c r="B457" s="51" t="s">
        <v>111</v>
      </c>
      <c r="C457" s="24">
        <v>2002.0</v>
      </c>
      <c r="D457" s="24">
        <v>0.05891</v>
      </c>
      <c r="E457" s="52">
        <v>25.5</v>
      </c>
      <c r="F457" s="53">
        <f t="shared" si="1"/>
        <v>1.86874302</v>
      </c>
      <c r="G457" s="52">
        <v>3.7</v>
      </c>
      <c r="H457" s="54">
        <f t="shared" si="2"/>
        <v>0.2677312637</v>
      </c>
      <c r="I457" s="52">
        <v>12.7</v>
      </c>
      <c r="J457" s="54">
        <f t="shared" si="3"/>
        <v>1.296923426</v>
      </c>
      <c r="K457" s="55">
        <v>1.115853659</v>
      </c>
      <c r="L457" s="54">
        <f t="shared" si="4"/>
        <v>0.0809045252</v>
      </c>
      <c r="M457" s="55">
        <v>3.713414634</v>
      </c>
      <c r="N457" s="56">
        <f t="shared" si="5"/>
        <v>0.2355847205</v>
      </c>
      <c r="O457" s="57">
        <v>0.576</v>
      </c>
      <c r="P457" s="24">
        <v>26496.0</v>
      </c>
      <c r="Q457" s="24">
        <v>15091.0</v>
      </c>
      <c r="R457" s="24">
        <v>4225.0</v>
      </c>
      <c r="S457" s="24">
        <v>3020.0</v>
      </c>
      <c r="T457" s="24">
        <v>1025.0</v>
      </c>
      <c r="U457" s="24">
        <v>19.0345</v>
      </c>
      <c r="V457" s="24">
        <v>10.8412</v>
      </c>
      <c r="W457" s="24">
        <v>3.0352</v>
      </c>
      <c r="X457" s="24">
        <v>2.1695</v>
      </c>
      <c r="Y457" s="24">
        <v>0.7364</v>
      </c>
      <c r="Z457" s="24">
        <v>95.5</v>
      </c>
      <c r="AA457" s="24">
        <v>21.9</v>
      </c>
      <c r="AB457" s="24">
        <v>5.2</v>
      </c>
      <c r="AC457" s="24">
        <v>42.4</v>
      </c>
      <c r="AD457" s="24">
        <v>7.8</v>
      </c>
      <c r="AE457" s="24">
        <v>1.244</v>
      </c>
      <c r="AF457" s="24">
        <v>1.733491</v>
      </c>
      <c r="AG457" s="24">
        <v>1.230769</v>
      </c>
      <c r="AH457" s="24">
        <v>1.076923</v>
      </c>
      <c r="AI457" s="24">
        <v>1.228311</v>
      </c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</row>
    <row r="458">
      <c r="A458" s="51" t="s">
        <v>51</v>
      </c>
      <c r="B458" s="51" t="s">
        <v>111</v>
      </c>
      <c r="C458" s="24">
        <v>2003.0</v>
      </c>
      <c r="D458" s="24">
        <v>0.05819</v>
      </c>
      <c r="E458" s="52">
        <v>23.3</v>
      </c>
      <c r="F458" s="53">
        <f t="shared" si="1"/>
        <v>1.693699088</v>
      </c>
      <c r="G458" s="52">
        <v>3.9</v>
      </c>
      <c r="H458" s="54">
        <f t="shared" si="2"/>
        <v>0.2839401824</v>
      </c>
      <c r="I458" s="52">
        <v>12.9</v>
      </c>
      <c r="J458" s="54">
        <f t="shared" si="3"/>
        <v>1.30432292</v>
      </c>
      <c r="K458" s="55">
        <v>1.018518519</v>
      </c>
      <c r="L458" s="54">
        <f t="shared" si="4"/>
        <v>0.07202138588</v>
      </c>
      <c r="M458" s="55">
        <v>4.388888889</v>
      </c>
      <c r="N458" s="56">
        <f t="shared" si="5"/>
        <v>0.2860361778</v>
      </c>
      <c r="O458" s="57">
        <v>0.564</v>
      </c>
      <c r="P458" s="24">
        <v>26496.0</v>
      </c>
      <c r="Q458" s="24">
        <v>15091.0</v>
      </c>
      <c r="R458" s="24">
        <v>4225.0</v>
      </c>
      <c r="S458" s="24">
        <v>3020.0</v>
      </c>
      <c r="T458" s="24">
        <v>1025.0</v>
      </c>
      <c r="U458" s="24">
        <v>19.0345</v>
      </c>
      <c r="V458" s="24">
        <v>10.8412</v>
      </c>
      <c r="W458" s="24">
        <v>3.0352</v>
      </c>
      <c r="X458" s="24">
        <v>2.1695</v>
      </c>
      <c r="Y458" s="24">
        <v>0.7364</v>
      </c>
      <c r="Z458" s="24">
        <v>95.1</v>
      </c>
      <c r="AA458" s="24">
        <v>21.5</v>
      </c>
      <c r="AB458" s="24">
        <v>5.0</v>
      </c>
      <c r="AC458" s="24">
        <v>42.3</v>
      </c>
      <c r="AD458" s="24">
        <v>7.9</v>
      </c>
      <c r="AE458" s="24">
        <v>1.2492</v>
      </c>
      <c r="AF458" s="24">
        <v>1.737589</v>
      </c>
      <c r="AG458" s="24">
        <v>1.21519</v>
      </c>
      <c r="AH458" s="24">
        <v>1.12</v>
      </c>
      <c r="AI458" s="24">
        <v>1.251163</v>
      </c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8"/>
    </row>
    <row r="459">
      <c r="A459" s="51" t="s">
        <v>51</v>
      </c>
      <c r="B459" s="51" t="s">
        <v>111</v>
      </c>
      <c r="C459" s="24">
        <v>2004.0</v>
      </c>
      <c r="D459" s="24">
        <v>0.04957</v>
      </c>
      <c r="E459" s="52">
        <v>22.3</v>
      </c>
      <c r="F459" s="53">
        <f t="shared" si="1"/>
        <v>1.405972251</v>
      </c>
      <c r="G459" s="52">
        <v>3.1</v>
      </c>
      <c r="H459" s="54">
        <f t="shared" si="2"/>
        <v>0.1940677446</v>
      </c>
      <c r="I459" s="52">
        <v>12.4</v>
      </c>
      <c r="J459" s="54">
        <f t="shared" si="3"/>
        <v>1.070570944</v>
      </c>
      <c r="K459" s="55">
        <v>1.347826087</v>
      </c>
      <c r="L459" s="54">
        <f t="shared" si="4"/>
        <v>0.08118895728</v>
      </c>
      <c r="M459" s="55">
        <v>4.02173913</v>
      </c>
      <c r="N459" s="56">
        <f t="shared" si="5"/>
        <v>0.2189024293</v>
      </c>
      <c r="O459" s="57">
        <v>0.534</v>
      </c>
      <c r="P459" s="24">
        <v>26496.0</v>
      </c>
      <c r="Q459" s="24">
        <v>15091.0</v>
      </c>
      <c r="R459" s="24">
        <v>4225.0</v>
      </c>
      <c r="S459" s="24">
        <v>3020.0</v>
      </c>
      <c r="T459" s="24">
        <v>1025.0</v>
      </c>
      <c r="U459" s="24">
        <v>19.0345</v>
      </c>
      <c r="V459" s="24">
        <v>10.8412</v>
      </c>
      <c r="W459" s="24">
        <v>3.0352</v>
      </c>
      <c r="X459" s="24">
        <v>2.1695</v>
      </c>
      <c r="Y459" s="24">
        <v>0.7364</v>
      </c>
      <c r="Z459" s="24">
        <v>93.4</v>
      </c>
      <c r="AA459" s="24">
        <v>21.3</v>
      </c>
      <c r="AB459" s="24">
        <v>5.1</v>
      </c>
      <c r="AC459" s="24">
        <v>42.2</v>
      </c>
      <c r="AD459" s="24">
        <v>7.9</v>
      </c>
      <c r="AE459" s="24">
        <v>1.2719</v>
      </c>
      <c r="AF459" s="24">
        <v>1.741706</v>
      </c>
      <c r="AG459" s="24">
        <v>1.21519</v>
      </c>
      <c r="AH459" s="24">
        <v>1.098039</v>
      </c>
      <c r="AI459" s="24">
        <v>1.262911</v>
      </c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</row>
    <row r="460">
      <c r="A460" s="51" t="s">
        <v>51</v>
      </c>
      <c r="B460" s="51" t="s">
        <v>111</v>
      </c>
      <c r="C460" s="24">
        <v>2005.0</v>
      </c>
      <c r="D460" s="24">
        <v>0.04741</v>
      </c>
      <c r="E460" s="52">
        <v>20.3</v>
      </c>
      <c r="F460" s="53">
        <f t="shared" si="1"/>
        <v>1.176273391</v>
      </c>
      <c r="G460" s="52">
        <v>2.7</v>
      </c>
      <c r="H460" s="54">
        <f t="shared" si="2"/>
        <v>0.1616614484</v>
      </c>
      <c r="I460" s="52">
        <v>11.1</v>
      </c>
      <c r="J460" s="54">
        <f t="shared" si="3"/>
        <v>0.9231374004</v>
      </c>
      <c r="K460" s="55">
        <v>1.022727273</v>
      </c>
      <c r="L460" s="54">
        <f t="shared" si="4"/>
        <v>0.06206400002</v>
      </c>
      <c r="M460" s="55">
        <v>3.954545455</v>
      </c>
      <c r="N460" s="56">
        <f t="shared" si="5"/>
        <v>0.2142685447</v>
      </c>
      <c r="O460" s="57">
        <v>0.54</v>
      </c>
      <c r="P460" s="24">
        <v>26496.0</v>
      </c>
      <c r="Q460" s="24">
        <v>15091.0</v>
      </c>
      <c r="R460" s="24">
        <v>4225.0</v>
      </c>
      <c r="S460" s="24">
        <v>3020.0</v>
      </c>
      <c r="T460" s="24">
        <v>1025.0</v>
      </c>
      <c r="U460" s="24">
        <v>19.0345</v>
      </c>
      <c r="V460" s="24">
        <v>10.8412</v>
      </c>
      <c r="W460" s="24">
        <v>3.0352</v>
      </c>
      <c r="X460" s="24">
        <v>2.1695</v>
      </c>
      <c r="Y460" s="24">
        <v>0.7364</v>
      </c>
      <c r="Z460" s="24">
        <v>97.2</v>
      </c>
      <c r="AA460" s="24">
        <v>21.3</v>
      </c>
      <c r="AB460" s="24">
        <v>4.9</v>
      </c>
      <c r="AC460" s="24">
        <v>41.9</v>
      </c>
      <c r="AD460" s="24">
        <v>7.5</v>
      </c>
      <c r="AE460" s="24">
        <v>1.2222</v>
      </c>
      <c r="AF460" s="24">
        <v>1.754177</v>
      </c>
      <c r="AG460" s="24">
        <v>1.28</v>
      </c>
      <c r="AH460" s="24">
        <v>1.142857</v>
      </c>
      <c r="AI460" s="24">
        <v>1.262911</v>
      </c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</row>
    <row r="461">
      <c r="A461" s="51" t="s">
        <v>51</v>
      </c>
      <c r="B461" s="51" t="s">
        <v>111</v>
      </c>
      <c r="C461" s="24">
        <v>2006.0</v>
      </c>
      <c r="D461" s="24">
        <v>0.05747</v>
      </c>
      <c r="E461" s="52">
        <v>18.6</v>
      </c>
      <c r="F461" s="53">
        <f t="shared" si="1"/>
        <v>1.309133267</v>
      </c>
      <c r="G461" s="52">
        <v>3.2</v>
      </c>
      <c r="H461" s="54">
        <f t="shared" si="2"/>
        <v>0.2401464408</v>
      </c>
      <c r="I461" s="52">
        <v>11.0</v>
      </c>
      <c r="J461" s="54">
        <f t="shared" si="3"/>
        <v>1.133280412</v>
      </c>
      <c r="K461" s="55">
        <v>1.3125</v>
      </c>
      <c r="L461" s="54">
        <f t="shared" si="4"/>
        <v>0.1005724749</v>
      </c>
      <c r="M461" s="55">
        <v>3.0375</v>
      </c>
      <c r="N461" s="56">
        <f t="shared" si="5"/>
        <v>0.2079924262</v>
      </c>
      <c r="O461" s="57">
        <v>0.523</v>
      </c>
      <c r="P461" s="24">
        <v>26496.0</v>
      </c>
      <c r="Q461" s="24">
        <v>15091.0</v>
      </c>
      <c r="R461" s="24">
        <v>4225.0</v>
      </c>
      <c r="S461" s="24">
        <v>3020.0</v>
      </c>
      <c r="T461" s="24">
        <v>1025.0</v>
      </c>
      <c r="U461" s="24">
        <v>19.0345</v>
      </c>
      <c r="V461" s="24">
        <v>10.8412</v>
      </c>
      <c r="W461" s="24">
        <v>3.0352</v>
      </c>
      <c r="X461" s="24">
        <v>2.1695</v>
      </c>
      <c r="Y461" s="24">
        <v>0.7364</v>
      </c>
      <c r="Z461" s="24">
        <v>97.0</v>
      </c>
      <c r="AA461" s="24">
        <v>20.6</v>
      </c>
      <c r="AB461" s="24">
        <v>4.7</v>
      </c>
      <c r="AC461" s="24">
        <v>41.0</v>
      </c>
      <c r="AD461" s="24">
        <v>7.2</v>
      </c>
      <c r="AE461" s="24">
        <v>1.2247</v>
      </c>
      <c r="AF461" s="24">
        <v>1.792683</v>
      </c>
      <c r="AG461" s="24">
        <v>1.333333</v>
      </c>
      <c r="AH461" s="24">
        <v>1.191489</v>
      </c>
      <c r="AI461" s="24">
        <v>1.305825</v>
      </c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</row>
    <row r="462">
      <c r="A462" s="51" t="s">
        <v>51</v>
      </c>
      <c r="B462" s="51" t="s">
        <v>111</v>
      </c>
      <c r="C462" s="24">
        <v>2007.0</v>
      </c>
      <c r="D462" s="24">
        <v>0.05747</v>
      </c>
      <c r="E462" s="52">
        <v>20.0</v>
      </c>
      <c r="F462" s="53">
        <f t="shared" si="1"/>
        <v>1.38341784</v>
      </c>
      <c r="G462" s="52">
        <v>3.4</v>
      </c>
      <c r="H462" s="54">
        <f t="shared" si="2"/>
        <v>0.2467702836</v>
      </c>
      <c r="I462" s="52">
        <v>10.6</v>
      </c>
      <c r="J462" s="54">
        <f t="shared" si="3"/>
        <v>1.089412963</v>
      </c>
      <c r="K462" s="55">
        <v>1.2375</v>
      </c>
      <c r="L462" s="54">
        <f t="shared" si="4"/>
        <v>0.09482547629</v>
      </c>
      <c r="M462" s="55">
        <v>3.5625</v>
      </c>
      <c r="N462" s="56">
        <f t="shared" si="5"/>
        <v>0.249244829</v>
      </c>
      <c r="O462" s="57">
        <v>0.579</v>
      </c>
      <c r="P462" s="24">
        <v>26496.0</v>
      </c>
      <c r="Q462" s="24">
        <v>15091.0</v>
      </c>
      <c r="R462" s="24">
        <v>4225.0</v>
      </c>
      <c r="S462" s="24">
        <v>3020.0</v>
      </c>
      <c r="T462" s="24">
        <v>1025.0</v>
      </c>
      <c r="U462" s="24">
        <v>19.0345</v>
      </c>
      <c r="V462" s="24">
        <v>10.8412</v>
      </c>
      <c r="W462" s="24">
        <v>3.0352</v>
      </c>
      <c r="X462" s="24">
        <v>2.1695</v>
      </c>
      <c r="Y462" s="24">
        <v>0.7364</v>
      </c>
      <c r="Z462" s="24">
        <v>98.7</v>
      </c>
      <c r="AA462" s="24">
        <v>21.3</v>
      </c>
      <c r="AB462" s="24">
        <v>4.6</v>
      </c>
      <c r="AC462" s="24">
        <v>41.1</v>
      </c>
      <c r="AD462" s="24">
        <v>7.2</v>
      </c>
      <c r="AE462" s="24">
        <v>1.2036</v>
      </c>
      <c r="AF462" s="24">
        <v>1.788321</v>
      </c>
      <c r="AG462" s="24">
        <v>1.333333</v>
      </c>
      <c r="AH462" s="24">
        <v>1.217391</v>
      </c>
      <c r="AI462" s="24">
        <v>1.262911</v>
      </c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</row>
    <row r="463">
      <c r="A463" s="51" t="s">
        <v>51</v>
      </c>
      <c r="B463" s="51" t="s">
        <v>111</v>
      </c>
      <c r="C463" s="24">
        <v>2008.0</v>
      </c>
      <c r="D463" s="24">
        <v>0.05603</v>
      </c>
      <c r="E463" s="52">
        <v>19.3</v>
      </c>
      <c r="F463" s="53">
        <f t="shared" si="1"/>
        <v>1.285975907</v>
      </c>
      <c r="G463" s="52">
        <v>2.8</v>
      </c>
      <c r="H463" s="54">
        <f t="shared" si="2"/>
        <v>0.1935862274</v>
      </c>
      <c r="I463" s="52">
        <v>11.3</v>
      </c>
      <c r="J463" s="54">
        <f t="shared" si="3"/>
        <v>1.10799325</v>
      </c>
      <c r="K463" s="55">
        <v>1.076923077</v>
      </c>
      <c r="L463" s="54">
        <f t="shared" si="4"/>
        <v>0.07935120313</v>
      </c>
      <c r="M463" s="55">
        <v>2.923076923</v>
      </c>
      <c r="N463" s="56">
        <f t="shared" si="5"/>
        <v>0.1951420684</v>
      </c>
      <c r="O463" s="57">
        <v>0.546</v>
      </c>
      <c r="P463" s="24">
        <v>26496.0</v>
      </c>
      <c r="Q463" s="24">
        <v>15091.0</v>
      </c>
      <c r="R463" s="24">
        <v>4225.0</v>
      </c>
      <c r="S463" s="24">
        <v>3020.0</v>
      </c>
      <c r="T463" s="24">
        <v>1025.0</v>
      </c>
      <c r="U463" s="24">
        <v>19.0345</v>
      </c>
      <c r="V463" s="24">
        <v>10.8412</v>
      </c>
      <c r="W463" s="24">
        <v>3.0352</v>
      </c>
      <c r="X463" s="24">
        <v>2.1695</v>
      </c>
      <c r="Y463" s="24">
        <v>0.7364</v>
      </c>
      <c r="Z463" s="24">
        <v>99.9</v>
      </c>
      <c r="AA463" s="24">
        <v>21.8</v>
      </c>
      <c r="AB463" s="24">
        <v>4.7</v>
      </c>
      <c r="AC463" s="24">
        <v>42.0</v>
      </c>
      <c r="AD463" s="24">
        <v>7.3</v>
      </c>
      <c r="AE463" s="24">
        <v>1.1892</v>
      </c>
      <c r="AF463" s="24">
        <v>1.75</v>
      </c>
      <c r="AG463" s="24">
        <v>1.315068</v>
      </c>
      <c r="AH463" s="24">
        <v>1.191489</v>
      </c>
      <c r="AI463" s="24">
        <v>1.233945</v>
      </c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</row>
    <row r="464">
      <c r="A464" s="51" t="s">
        <v>51</v>
      </c>
      <c r="B464" s="51" t="s">
        <v>111</v>
      </c>
      <c r="C464" s="24">
        <v>2009.0</v>
      </c>
      <c r="D464" s="24">
        <v>0.05388</v>
      </c>
      <c r="E464" s="52">
        <v>19.3</v>
      </c>
      <c r="F464" s="53">
        <f t="shared" si="1"/>
        <v>1.235382192</v>
      </c>
      <c r="G464" s="52">
        <v>3.5</v>
      </c>
      <c r="H464" s="54">
        <f t="shared" si="2"/>
        <v>0.2415619282</v>
      </c>
      <c r="I464" s="52">
        <v>10.7</v>
      </c>
      <c r="J464" s="54">
        <f t="shared" si="3"/>
        <v>1.026003041</v>
      </c>
      <c r="K464" s="55">
        <v>0.76</v>
      </c>
      <c r="L464" s="54">
        <f t="shared" si="4"/>
        <v>0.05385045652</v>
      </c>
      <c r="M464" s="55">
        <v>2.52</v>
      </c>
      <c r="N464" s="56">
        <f t="shared" si="5"/>
        <v>0.1584072453</v>
      </c>
      <c r="O464" s="57">
        <v>0.549</v>
      </c>
      <c r="P464" s="24">
        <v>26496.0</v>
      </c>
      <c r="Q464" s="24">
        <v>15091.0</v>
      </c>
      <c r="R464" s="24">
        <v>4225.0</v>
      </c>
      <c r="S464" s="24">
        <v>3020.0</v>
      </c>
      <c r="T464" s="24">
        <v>1025.0</v>
      </c>
      <c r="U464" s="24">
        <v>19.0345</v>
      </c>
      <c r="V464" s="24">
        <v>10.8412</v>
      </c>
      <c r="W464" s="24">
        <v>3.0352</v>
      </c>
      <c r="X464" s="24">
        <v>2.1695</v>
      </c>
      <c r="Y464" s="24">
        <v>0.7364</v>
      </c>
      <c r="Z464" s="24">
        <v>100.0</v>
      </c>
      <c r="AA464" s="24">
        <v>21.0</v>
      </c>
      <c r="AB464" s="24">
        <v>4.8</v>
      </c>
      <c r="AC464" s="24">
        <v>41.3</v>
      </c>
      <c r="AD464" s="24">
        <v>7.3</v>
      </c>
      <c r="AE464" s="24">
        <v>1.188</v>
      </c>
      <c r="AF464" s="24">
        <v>1.779661</v>
      </c>
      <c r="AG464" s="24">
        <v>1.315068</v>
      </c>
      <c r="AH464" s="24">
        <v>1.166667</v>
      </c>
      <c r="AI464" s="24">
        <v>1.280952</v>
      </c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</row>
    <row r="465">
      <c r="A465" s="51" t="s">
        <v>51</v>
      </c>
      <c r="B465" s="51" t="s">
        <v>111</v>
      </c>
      <c r="C465" s="24">
        <v>2010.0</v>
      </c>
      <c r="D465" s="24">
        <v>0.05603</v>
      </c>
      <c r="E465" s="52">
        <v>17.9</v>
      </c>
      <c r="F465" s="53">
        <f t="shared" si="1"/>
        <v>1.186775352</v>
      </c>
      <c r="G465" s="52">
        <v>3.2</v>
      </c>
      <c r="H465" s="54">
        <f t="shared" si="2"/>
        <v>0.2275029569</v>
      </c>
      <c r="I465" s="52">
        <v>10.1</v>
      </c>
      <c r="J465" s="54">
        <f t="shared" si="3"/>
        <v>0.9974549688</v>
      </c>
      <c r="K465" s="55">
        <v>0.865384615</v>
      </c>
      <c r="L465" s="54">
        <f t="shared" si="4"/>
        <v>0.06464998381</v>
      </c>
      <c r="M465" s="55">
        <v>2.25</v>
      </c>
      <c r="N465" s="56">
        <f t="shared" si="5"/>
        <v>0.1440771248</v>
      </c>
      <c r="O465" s="57">
        <v>0.56</v>
      </c>
      <c r="P465" s="24">
        <v>26496.0</v>
      </c>
      <c r="Q465" s="24">
        <v>15091.0</v>
      </c>
      <c r="R465" s="24">
        <v>4225.0</v>
      </c>
      <c r="S465" s="24">
        <v>3020.0</v>
      </c>
      <c r="T465" s="24">
        <v>1025.0</v>
      </c>
      <c r="U465" s="24">
        <v>19.0345</v>
      </c>
      <c r="V465" s="24">
        <v>10.8412</v>
      </c>
      <c r="W465" s="24">
        <v>3.0352</v>
      </c>
      <c r="X465" s="24">
        <v>2.1695</v>
      </c>
      <c r="Y465" s="24">
        <v>0.7364</v>
      </c>
      <c r="Z465" s="24">
        <v>100.4</v>
      </c>
      <c r="AA465" s="24">
        <v>21.2</v>
      </c>
      <c r="AB465" s="24">
        <v>4.9</v>
      </c>
      <c r="AC465" s="24">
        <v>41.7</v>
      </c>
      <c r="AD465" s="24">
        <v>7.2</v>
      </c>
      <c r="AE465" s="24">
        <v>1.1833</v>
      </c>
      <c r="AF465" s="24">
        <v>1.76259</v>
      </c>
      <c r="AG465" s="24">
        <v>1.333333</v>
      </c>
      <c r="AH465" s="24">
        <v>1.142857</v>
      </c>
      <c r="AI465" s="24">
        <v>1.268868</v>
      </c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8"/>
    </row>
    <row r="466">
      <c r="A466" s="51" t="s">
        <v>51</v>
      </c>
      <c r="B466" s="51" t="s">
        <v>111</v>
      </c>
      <c r="C466" s="24">
        <v>2011.0</v>
      </c>
      <c r="D466" s="24">
        <v>0.0546</v>
      </c>
      <c r="E466" s="52">
        <v>13.4</v>
      </c>
      <c r="F466" s="53">
        <f t="shared" si="1"/>
        <v>0.872700192</v>
      </c>
      <c r="G466" s="52">
        <v>2.7</v>
      </c>
      <c r="H466" s="54">
        <f t="shared" si="2"/>
        <v>0.1844464495</v>
      </c>
      <c r="I466" s="52">
        <v>8.9</v>
      </c>
      <c r="J466" s="54">
        <f t="shared" si="3"/>
        <v>0.8627194103</v>
      </c>
      <c r="K466" s="55">
        <v>0.986842105</v>
      </c>
      <c r="L466" s="54">
        <f t="shared" si="4"/>
        <v>0.07085794024</v>
      </c>
      <c r="M466" s="55">
        <v>2.881578947</v>
      </c>
      <c r="N466" s="56">
        <f t="shared" si="5"/>
        <v>0.1798105038</v>
      </c>
      <c r="O466" s="57">
        <v>0.537</v>
      </c>
      <c r="P466" s="24">
        <v>26496.0</v>
      </c>
      <c r="Q466" s="24">
        <v>15091.0</v>
      </c>
      <c r="R466" s="24">
        <v>4225.0</v>
      </c>
      <c r="S466" s="24">
        <v>3020.0</v>
      </c>
      <c r="T466" s="24">
        <v>1025.0</v>
      </c>
      <c r="U466" s="24">
        <v>19.0345</v>
      </c>
      <c r="V466" s="24">
        <v>10.8412</v>
      </c>
      <c r="W466" s="24">
        <v>3.0352</v>
      </c>
      <c r="X466" s="24">
        <v>2.1695</v>
      </c>
      <c r="Y466" s="24">
        <v>0.7364</v>
      </c>
      <c r="Z466" s="24">
        <v>99.6</v>
      </c>
      <c r="AA466" s="24">
        <v>21.5</v>
      </c>
      <c r="AB466" s="24">
        <v>4.9</v>
      </c>
      <c r="AC466" s="24">
        <v>41.4</v>
      </c>
      <c r="AD466" s="24">
        <v>7.3</v>
      </c>
      <c r="AE466" s="24">
        <v>1.1928</v>
      </c>
      <c r="AF466" s="24">
        <v>1.775362</v>
      </c>
      <c r="AG466" s="24">
        <v>1.315068</v>
      </c>
      <c r="AH466" s="24">
        <v>1.142857</v>
      </c>
      <c r="AI466" s="24">
        <v>1.251163</v>
      </c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</row>
    <row r="467">
      <c r="A467" s="51" t="s">
        <v>51</v>
      </c>
      <c r="B467" s="51" t="s">
        <v>111</v>
      </c>
      <c r="C467" s="24">
        <v>2012.0</v>
      </c>
      <c r="D467" s="24">
        <v>0.04167</v>
      </c>
      <c r="E467" s="52">
        <v>15.4</v>
      </c>
      <c r="F467" s="53">
        <f t="shared" si="1"/>
        <v>0.7916233248</v>
      </c>
      <c r="G467" s="52">
        <v>2.3</v>
      </c>
      <c r="H467" s="54">
        <f t="shared" si="2"/>
        <v>0.1227677206</v>
      </c>
      <c r="I467" s="52">
        <v>9.0</v>
      </c>
      <c r="J467" s="54">
        <f t="shared" si="3"/>
        <v>0.6531920012</v>
      </c>
      <c r="K467" s="55">
        <v>0.982758621</v>
      </c>
      <c r="L467" s="54">
        <f t="shared" si="4"/>
        <v>0.05105646998</v>
      </c>
      <c r="M467" s="55">
        <v>2.275862069</v>
      </c>
      <c r="N467" s="56">
        <f t="shared" si="5"/>
        <v>0.1041327179</v>
      </c>
      <c r="O467" s="57">
        <v>0.531</v>
      </c>
      <c r="P467" s="24">
        <v>26496.0</v>
      </c>
      <c r="Q467" s="24">
        <v>15091.0</v>
      </c>
      <c r="R467" s="24">
        <v>4225.0</v>
      </c>
      <c r="S467" s="24">
        <v>3020.0</v>
      </c>
      <c r="T467" s="24">
        <v>1025.0</v>
      </c>
      <c r="U467" s="24">
        <v>19.0345</v>
      </c>
      <c r="V467" s="24">
        <v>10.8412</v>
      </c>
      <c r="W467" s="24">
        <v>3.0352</v>
      </c>
      <c r="X467" s="24">
        <v>2.1695</v>
      </c>
      <c r="Y467" s="24">
        <v>0.7364</v>
      </c>
      <c r="Z467" s="24">
        <v>96.3</v>
      </c>
      <c r="AA467" s="24">
        <v>21.0</v>
      </c>
      <c r="AB467" s="24">
        <v>5.1</v>
      </c>
      <c r="AC467" s="24">
        <v>42.2</v>
      </c>
      <c r="AD467" s="24">
        <v>7.7</v>
      </c>
      <c r="AE467" s="24">
        <v>1.2336</v>
      </c>
      <c r="AF467" s="24">
        <v>1.741706</v>
      </c>
      <c r="AG467" s="24">
        <v>1.246753</v>
      </c>
      <c r="AH467" s="24">
        <v>1.098039</v>
      </c>
      <c r="AI467" s="24">
        <v>1.280952</v>
      </c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</row>
    <row r="468">
      <c r="A468" s="51" t="s">
        <v>51</v>
      </c>
      <c r="B468" s="51" t="s">
        <v>111</v>
      </c>
      <c r="C468" s="24">
        <v>2013.0</v>
      </c>
      <c r="D468" s="24">
        <v>0.04957</v>
      </c>
      <c r="E468" s="52">
        <v>17.8</v>
      </c>
      <c r="F468" s="53">
        <f t="shared" si="1"/>
        <v>1.068521006</v>
      </c>
      <c r="G468" s="52">
        <v>2.7</v>
      </c>
      <c r="H468" s="54">
        <f t="shared" si="2"/>
        <v>0.1629081616</v>
      </c>
      <c r="I468" s="52">
        <v>9.9</v>
      </c>
      <c r="J468" s="54">
        <f t="shared" si="3"/>
        <v>0.8567602313</v>
      </c>
      <c r="K468" s="55">
        <v>1.086956522</v>
      </c>
      <c r="L468" s="54">
        <f t="shared" si="4"/>
        <v>0.06631436885</v>
      </c>
      <c r="M468" s="55">
        <v>3.97826087</v>
      </c>
      <c r="N468" s="56">
        <f t="shared" si="5"/>
        <v>0.2165359166</v>
      </c>
      <c r="O468" s="57">
        <v>0.554</v>
      </c>
      <c r="P468" s="24">
        <v>26496.0</v>
      </c>
      <c r="Q468" s="24">
        <v>15091.0</v>
      </c>
      <c r="R468" s="24">
        <v>4225.0</v>
      </c>
      <c r="S468" s="24">
        <v>3020.0</v>
      </c>
      <c r="T468" s="24">
        <v>1025.0</v>
      </c>
      <c r="U468" s="24">
        <v>19.0345</v>
      </c>
      <c r="V468" s="24">
        <v>10.8412</v>
      </c>
      <c r="W468" s="24">
        <v>3.0352</v>
      </c>
      <c r="X468" s="24">
        <v>2.1695</v>
      </c>
      <c r="Y468" s="24">
        <v>0.7364</v>
      </c>
      <c r="Z468" s="24">
        <v>98.1</v>
      </c>
      <c r="AA468" s="24">
        <v>22.1</v>
      </c>
      <c r="AB468" s="24">
        <v>5.1</v>
      </c>
      <c r="AC468" s="24">
        <v>42.1</v>
      </c>
      <c r="AD468" s="24">
        <v>7.8</v>
      </c>
      <c r="AE468" s="24">
        <v>1.211</v>
      </c>
      <c r="AF468" s="24">
        <v>1.745843</v>
      </c>
      <c r="AG468" s="24">
        <v>1.230769</v>
      </c>
      <c r="AH468" s="24">
        <v>1.098039</v>
      </c>
      <c r="AI468" s="24">
        <v>1.217195</v>
      </c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</row>
    <row r="469">
      <c r="A469" s="51" t="s">
        <v>51</v>
      </c>
      <c r="B469" s="51" t="s">
        <v>111</v>
      </c>
      <c r="C469" s="24">
        <v>2014.0</v>
      </c>
      <c r="D469" s="24">
        <v>0.05316</v>
      </c>
      <c r="E469" s="52">
        <v>15.1</v>
      </c>
      <c r="F469" s="53">
        <f t="shared" si="1"/>
        <v>0.9441545592</v>
      </c>
      <c r="G469" s="52">
        <v>3.0</v>
      </c>
      <c r="H469" s="54">
        <f t="shared" si="2"/>
        <v>0.195000502</v>
      </c>
      <c r="I469" s="52">
        <v>9.7</v>
      </c>
      <c r="J469" s="54">
        <f t="shared" si="3"/>
        <v>0.8875974598</v>
      </c>
      <c r="K469" s="55">
        <v>0.871621622</v>
      </c>
      <c r="L469" s="54">
        <f t="shared" si="4"/>
        <v>0.05776880572</v>
      </c>
      <c r="M469" s="55">
        <v>2.817567568</v>
      </c>
      <c r="N469" s="56">
        <f t="shared" si="5"/>
        <v>0.1784634766</v>
      </c>
      <c r="O469" s="57">
        <v>0.535</v>
      </c>
      <c r="P469" s="24">
        <v>26496.0</v>
      </c>
      <c r="Q469" s="24">
        <v>15091.0</v>
      </c>
      <c r="R469" s="24">
        <v>4225.0</v>
      </c>
      <c r="S469" s="24">
        <v>3020.0</v>
      </c>
      <c r="T469" s="24">
        <v>1025.0</v>
      </c>
      <c r="U469" s="24">
        <v>19.0345</v>
      </c>
      <c r="V469" s="24">
        <v>10.8412</v>
      </c>
      <c r="W469" s="24">
        <v>3.0352</v>
      </c>
      <c r="X469" s="24">
        <v>2.1695</v>
      </c>
      <c r="Y469" s="24">
        <v>0.7364</v>
      </c>
      <c r="Z469" s="24">
        <v>101.0</v>
      </c>
      <c r="AA469" s="24">
        <v>22.0</v>
      </c>
      <c r="AB469" s="24">
        <v>4.7</v>
      </c>
      <c r="AC469" s="24">
        <v>42.7</v>
      </c>
      <c r="AD469" s="24">
        <v>7.7</v>
      </c>
      <c r="AE469" s="24">
        <v>1.1762</v>
      </c>
      <c r="AF469" s="24">
        <v>1.721311</v>
      </c>
      <c r="AG469" s="24">
        <v>1.246753</v>
      </c>
      <c r="AH469" s="24">
        <v>1.191489</v>
      </c>
      <c r="AI469" s="24">
        <v>1.222727</v>
      </c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</row>
    <row r="470">
      <c r="A470" s="51" t="s">
        <v>51</v>
      </c>
      <c r="B470" s="51" t="s">
        <v>111</v>
      </c>
      <c r="C470" s="24">
        <v>2015.0</v>
      </c>
      <c r="D470" s="24">
        <v>0.05532</v>
      </c>
      <c r="E470" s="52">
        <v>13.9</v>
      </c>
      <c r="F470" s="53">
        <f t="shared" si="1"/>
        <v>0.913510224</v>
      </c>
      <c r="G470" s="52">
        <v>3.0</v>
      </c>
      <c r="H470" s="54">
        <f t="shared" si="2"/>
        <v>0.2029237729</v>
      </c>
      <c r="I470" s="52">
        <v>9.1</v>
      </c>
      <c r="J470" s="54">
        <f t="shared" si="3"/>
        <v>0.8545217335</v>
      </c>
      <c r="K470" s="55">
        <v>1.227272727</v>
      </c>
      <c r="L470" s="54">
        <f t="shared" si="4"/>
        <v>0.08464546139</v>
      </c>
      <c r="M470" s="55">
        <v>2.941558442</v>
      </c>
      <c r="N470" s="56">
        <f t="shared" si="5"/>
        <v>0.1898482361</v>
      </c>
      <c r="O470" s="57">
        <v>0.56</v>
      </c>
      <c r="P470" s="24">
        <v>26496.0</v>
      </c>
      <c r="Q470" s="24">
        <v>15091.0</v>
      </c>
      <c r="R470" s="24">
        <v>4225.0</v>
      </c>
      <c r="S470" s="24">
        <v>3020.0</v>
      </c>
      <c r="T470" s="24">
        <v>1025.0</v>
      </c>
      <c r="U470" s="24">
        <v>19.0345</v>
      </c>
      <c r="V470" s="24">
        <v>10.8412</v>
      </c>
      <c r="W470" s="24">
        <v>3.0352</v>
      </c>
      <c r="X470" s="24">
        <v>2.1695</v>
      </c>
      <c r="Y470" s="24">
        <v>0.7364</v>
      </c>
      <c r="Z470" s="24">
        <v>100.0</v>
      </c>
      <c r="AA470" s="24">
        <v>22.0</v>
      </c>
      <c r="AB470" s="24">
        <v>4.8</v>
      </c>
      <c r="AC470" s="24">
        <v>43.3</v>
      </c>
      <c r="AD470" s="24">
        <v>7.7</v>
      </c>
      <c r="AE470" s="24">
        <v>1.188</v>
      </c>
      <c r="AF470" s="24">
        <v>1.69746</v>
      </c>
      <c r="AG470" s="24">
        <v>1.246753</v>
      </c>
      <c r="AH470" s="24">
        <v>1.166667</v>
      </c>
      <c r="AI470" s="24">
        <v>1.222727</v>
      </c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</row>
    <row r="471">
      <c r="A471" s="51" t="s">
        <v>51</v>
      </c>
      <c r="B471" s="51" t="s">
        <v>111</v>
      </c>
      <c r="C471" s="24">
        <v>2016.0</v>
      </c>
      <c r="D471" s="24">
        <v>0.04382</v>
      </c>
      <c r="E471" s="52">
        <v>8.6</v>
      </c>
      <c r="F471" s="53">
        <f t="shared" si="1"/>
        <v>0.4359423936</v>
      </c>
      <c r="G471" s="52">
        <v>2.7</v>
      </c>
      <c r="H471" s="54">
        <f t="shared" si="2"/>
        <v>0.1427195753</v>
      </c>
      <c r="I471" s="52">
        <v>7.3</v>
      </c>
      <c r="J471" s="54">
        <f t="shared" si="3"/>
        <v>0.5367949387</v>
      </c>
      <c r="K471" s="55">
        <v>1.155737705</v>
      </c>
      <c r="L471" s="54">
        <f t="shared" si="4"/>
        <v>0.06233158983</v>
      </c>
      <c r="M471" s="55">
        <v>1.918032787</v>
      </c>
      <c r="N471" s="56">
        <f t="shared" si="5"/>
        <v>0.09413398033</v>
      </c>
      <c r="O471" s="57">
        <v>0.523</v>
      </c>
      <c r="P471" s="24">
        <v>26496.0</v>
      </c>
      <c r="Q471" s="24">
        <v>15091.0</v>
      </c>
      <c r="R471" s="24">
        <v>4225.0</v>
      </c>
      <c r="S471" s="24">
        <v>3020.0</v>
      </c>
      <c r="T471" s="24">
        <v>1025.0</v>
      </c>
      <c r="U471" s="24">
        <v>19.0345</v>
      </c>
      <c r="V471" s="24">
        <v>10.8412</v>
      </c>
      <c r="W471" s="24">
        <v>3.0352</v>
      </c>
      <c r="X471" s="24">
        <v>2.1695</v>
      </c>
      <c r="Y471" s="24">
        <v>0.7364</v>
      </c>
      <c r="Z471" s="24">
        <v>102.7</v>
      </c>
      <c r="AA471" s="24">
        <v>22.3</v>
      </c>
      <c r="AB471" s="24">
        <v>5.0</v>
      </c>
      <c r="AC471" s="24">
        <v>43.8</v>
      </c>
      <c r="AD471" s="24">
        <v>7.8</v>
      </c>
      <c r="AE471" s="24">
        <v>1.1568</v>
      </c>
      <c r="AF471" s="24">
        <v>1.678082</v>
      </c>
      <c r="AG471" s="24">
        <v>1.230769</v>
      </c>
      <c r="AH471" s="24">
        <v>1.12</v>
      </c>
      <c r="AI471" s="24">
        <v>1.206278</v>
      </c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</row>
    <row r="472">
      <c r="A472" s="51" t="s">
        <v>40</v>
      </c>
      <c r="B472" s="51" t="s">
        <v>107</v>
      </c>
      <c r="C472" s="24">
        <v>1960.0</v>
      </c>
      <c r="D472" s="24">
        <v>0.0644</v>
      </c>
      <c r="E472" s="52">
        <v>37.6</v>
      </c>
      <c r="F472" s="53">
        <f t="shared" si="1"/>
        <v>2.495051776</v>
      </c>
      <c r="G472" s="52">
        <v>2.3</v>
      </c>
      <c r="H472" s="54">
        <f t="shared" si="2"/>
        <v>0.1763020518</v>
      </c>
      <c r="I472" s="52">
        <v>27.0</v>
      </c>
      <c r="J472" s="54">
        <f t="shared" si="3"/>
        <v>1.7388</v>
      </c>
      <c r="K472" s="55">
        <v>0.0</v>
      </c>
      <c r="L472" s="54" t="str">
        <f t="shared" si="4"/>
        <v>No Stat</v>
      </c>
      <c r="M472" s="55">
        <v>0.0</v>
      </c>
      <c r="N472" s="56" t="str">
        <f t="shared" si="5"/>
        <v>No Stat</v>
      </c>
      <c r="O472" s="57">
        <v>0.493</v>
      </c>
      <c r="P472" s="24">
        <v>33953.0</v>
      </c>
      <c r="Q472" s="24">
        <v>25597.0</v>
      </c>
      <c r="R472" s="24">
        <v>4893.0</v>
      </c>
      <c r="S472" s="24">
        <v>0.0</v>
      </c>
      <c r="T472" s="24">
        <v>0.0</v>
      </c>
      <c r="U472" s="24">
        <v>30.3694</v>
      </c>
      <c r="V472" s="24">
        <v>22.8953</v>
      </c>
      <c r="W472" s="24">
        <v>4.3766</v>
      </c>
      <c r="X472" s="24">
        <v>0.0</v>
      </c>
      <c r="Y472" s="24">
        <v>0.0</v>
      </c>
      <c r="Z472" s="24">
        <v>115.3</v>
      </c>
      <c r="AA472" s="24">
        <v>22.6</v>
      </c>
      <c r="AB472" s="25"/>
      <c r="AC472" s="24">
        <v>73.5</v>
      </c>
      <c r="AD472" s="25"/>
      <c r="AE472" s="24">
        <v>1.0304</v>
      </c>
      <c r="AF472" s="24">
        <v>1.0</v>
      </c>
      <c r="AG472" s="51" t="s">
        <v>108</v>
      </c>
      <c r="AH472" s="51" t="s">
        <v>108</v>
      </c>
      <c r="AI472" s="24">
        <v>1.190265</v>
      </c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</row>
    <row r="473">
      <c r="A473" s="51" t="s">
        <v>40</v>
      </c>
      <c r="B473" s="51" t="s">
        <v>107</v>
      </c>
      <c r="C473" s="24">
        <v>1961.0</v>
      </c>
      <c r="D473" s="24">
        <v>0.07066</v>
      </c>
      <c r="E473" s="52">
        <v>38.4</v>
      </c>
      <c r="F473" s="53">
        <f t="shared" si="1"/>
        <v>2.72935273</v>
      </c>
      <c r="G473" s="52">
        <v>1.9</v>
      </c>
      <c r="H473" s="54">
        <f t="shared" si="2"/>
        <v>0.1492327188</v>
      </c>
      <c r="I473" s="52">
        <v>27.2</v>
      </c>
      <c r="J473" s="54">
        <f t="shared" si="3"/>
        <v>1.927197007</v>
      </c>
      <c r="K473" s="55">
        <v>0.0</v>
      </c>
      <c r="L473" s="54" t="str">
        <f t="shared" si="4"/>
        <v>No Stat</v>
      </c>
      <c r="M473" s="55">
        <v>0.0</v>
      </c>
      <c r="N473" s="56" t="str">
        <f t="shared" si="5"/>
        <v>No Stat</v>
      </c>
      <c r="O473" s="57">
        <v>0.519</v>
      </c>
      <c r="P473" s="24">
        <v>33953.0</v>
      </c>
      <c r="Q473" s="24">
        <v>25597.0</v>
      </c>
      <c r="R473" s="24">
        <v>4893.0</v>
      </c>
      <c r="S473" s="24">
        <v>0.0</v>
      </c>
      <c r="T473" s="24">
        <v>0.0</v>
      </c>
      <c r="U473" s="24">
        <v>30.3694</v>
      </c>
      <c r="V473" s="24">
        <v>22.8953</v>
      </c>
      <c r="W473" s="24">
        <v>4.3766</v>
      </c>
      <c r="X473" s="24">
        <v>0.0</v>
      </c>
      <c r="Y473" s="24">
        <v>0.0</v>
      </c>
      <c r="Z473" s="24">
        <v>118.1</v>
      </c>
      <c r="AA473" s="24">
        <v>24.2</v>
      </c>
      <c r="AB473" s="25"/>
      <c r="AC473" s="24">
        <v>73.3</v>
      </c>
      <c r="AD473" s="25"/>
      <c r="AE473" s="24">
        <v>1.0059</v>
      </c>
      <c r="AF473" s="24">
        <v>1.002729</v>
      </c>
      <c r="AG473" s="51" t="s">
        <v>108</v>
      </c>
      <c r="AH473" s="51" t="s">
        <v>108</v>
      </c>
      <c r="AI473" s="24">
        <v>1.11157</v>
      </c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</row>
    <row r="474">
      <c r="A474" s="51" t="s">
        <v>40</v>
      </c>
      <c r="B474" s="51" t="s">
        <v>107</v>
      </c>
      <c r="C474" s="24">
        <v>1962.0</v>
      </c>
      <c r="D474" s="24">
        <v>0.07156</v>
      </c>
      <c r="E474" s="52">
        <v>50.4</v>
      </c>
      <c r="F474" s="53">
        <f t="shared" si="1"/>
        <v>3.606624</v>
      </c>
      <c r="G474" s="52">
        <v>2.4</v>
      </c>
      <c r="H474" s="54">
        <f t="shared" si="2"/>
        <v>0.1933018221</v>
      </c>
      <c r="I474" s="52">
        <v>25.7</v>
      </c>
      <c r="J474" s="54">
        <f t="shared" si="3"/>
        <v>1.893183374</v>
      </c>
      <c r="K474" s="55">
        <v>0.0</v>
      </c>
      <c r="L474" s="54" t="str">
        <f t="shared" si="4"/>
        <v>No Stat</v>
      </c>
      <c r="M474" s="55">
        <v>0.0</v>
      </c>
      <c r="N474" s="56" t="str">
        <f t="shared" si="5"/>
        <v>No Stat</v>
      </c>
      <c r="O474" s="57">
        <v>0.536</v>
      </c>
      <c r="P474" s="24">
        <v>33953.0</v>
      </c>
      <c r="Q474" s="24">
        <v>25597.0</v>
      </c>
      <c r="R474" s="24">
        <v>4893.0</v>
      </c>
      <c r="S474" s="24">
        <v>0.0</v>
      </c>
      <c r="T474" s="24">
        <v>0.0</v>
      </c>
      <c r="U474" s="24">
        <v>30.3694</v>
      </c>
      <c r="V474" s="24">
        <v>22.8953</v>
      </c>
      <c r="W474" s="24">
        <v>4.3766</v>
      </c>
      <c r="X474" s="24">
        <v>0.0</v>
      </c>
      <c r="Y474" s="24">
        <v>0.0</v>
      </c>
      <c r="Z474" s="24">
        <v>118.8</v>
      </c>
      <c r="AA474" s="24">
        <v>23.9</v>
      </c>
      <c r="AB474" s="25"/>
      <c r="AC474" s="24">
        <v>71.4</v>
      </c>
      <c r="AD474" s="25"/>
      <c r="AE474" s="24">
        <v>1.0</v>
      </c>
      <c r="AF474" s="24">
        <v>1.029412</v>
      </c>
      <c r="AG474" s="51" t="s">
        <v>108</v>
      </c>
      <c r="AH474" s="51" t="s">
        <v>108</v>
      </c>
      <c r="AI474" s="24">
        <v>1.125523</v>
      </c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</row>
    <row r="475">
      <c r="A475" s="51" t="s">
        <v>40</v>
      </c>
      <c r="B475" s="51" t="s">
        <v>107</v>
      </c>
      <c r="C475" s="24">
        <v>1963.0</v>
      </c>
      <c r="D475" s="24">
        <v>0.07156</v>
      </c>
      <c r="E475" s="52">
        <v>44.8</v>
      </c>
      <c r="F475" s="53">
        <f t="shared" si="1"/>
        <v>3.303346995</v>
      </c>
      <c r="G475" s="52">
        <v>3.4</v>
      </c>
      <c r="H475" s="54">
        <f t="shared" si="2"/>
        <v>0.2883205927</v>
      </c>
      <c r="I475" s="52">
        <v>24.3</v>
      </c>
      <c r="J475" s="54">
        <f t="shared" si="3"/>
        <v>1.916187932</v>
      </c>
      <c r="K475" s="55">
        <v>0.0</v>
      </c>
      <c r="L475" s="54" t="str">
        <f t="shared" si="4"/>
        <v>No Stat</v>
      </c>
      <c r="M475" s="55">
        <v>0.0</v>
      </c>
      <c r="N475" s="56" t="str">
        <f t="shared" si="5"/>
        <v>No Stat</v>
      </c>
      <c r="O475" s="57">
        <v>0.55</v>
      </c>
      <c r="P475" s="24">
        <v>33953.0</v>
      </c>
      <c r="Q475" s="24">
        <v>25597.0</v>
      </c>
      <c r="R475" s="24">
        <v>4893.0</v>
      </c>
      <c r="S475" s="24">
        <v>0.0</v>
      </c>
      <c r="T475" s="24">
        <v>0.0</v>
      </c>
      <c r="U475" s="24">
        <v>30.3694</v>
      </c>
      <c r="V475" s="24">
        <v>22.8953</v>
      </c>
      <c r="W475" s="24">
        <v>4.3766</v>
      </c>
      <c r="X475" s="24">
        <v>0.0</v>
      </c>
      <c r="Y475" s="24">
        <v>0.0</v>
      </c>
      <c r="Z475" s="24">
        <v>115.3</v>
      </c>
      <c r="AA475" s="24">
        <v>22.7</v>
      </c>
      <c r="AB475" s="25"/>
      <c r="AC475" s="24">
        <v>66.7</v>
      </c>
      <c r="AD475" s="25"/>
      <c r="AE475" s="24">
        <v>1.0304</v>
      </c>
      <c r="AF475" s="24">
        <v>1.101949</v>
      </c>
      <c r="AG475" s="51" t="s">
        <v>108</v>
      </c>
      <c r="AH475" s="51" t="s">
        <v>108</v>
      </c>
      <c r="AI475" s="24">
        <v>1.185022</v>
      </c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</row>
    <row r="476">
      <c r="A476" s="51" t="s">
        <v>40</v>
      </c>
      <c r="B476" s="51" t="s">
        <v>107</v>
      </c>
      <c r="C476" s="24">
        <v>1964.0</v>
      </c>
      <c r="D476" s="24">
        <v>0.07156</v>
      </c>
      <c r="E476" s="52">
        <v>36.9</v>
      </c>
      <c r="F476" s="53">
        <f t="shared" si="1"/>
        <v>2.826195649</v>
      </c>
      <c r="G476" s="52">
        <v>5.0</v>
      </c>
      <c r="H476" s="54">
        <f t="shared" si="2"/>
        <v>0.4497578202</v>
      </c>
      <c r="I476" s="52">
        <v>22.3</v>
      </c>
      <c r="J476" s="54">
        <f t="shared" si="3"/>
        <v>1.779823847</v>
      </c>
      <c r="K476" s="55">
        <v>0.0</v>
      </c>
      <c r="L476" s="54" t="str">
        <f t="shared" si="4"/>
        <v>No Stat</v>
      </c>
      <c r="M476" s="55">
        <v>0.0</v>
      </c>
      <c r="N476" s="56" t="str">
        <f t="shared" si="5"/>
        <v>No Stat</v>
      </c>
      <c r="O476" s="57">
        <v>0.537</v>
      </c>
      <c r="P476" s="24">
        <v>33953.0</v>
      </c>
      <c r="Q476" s="24">
        <v>25597.0</v>
      </c>
      <c r="R476" s="24">
        <v>4893.0</v>
      </c>
      <c r="S476" s="24">
        <v>0.0</v>
      </c>
      <c r="T476" s="24">
        <v>0.0</v>
      </c>
      <c r="U476" s="24">
        <v>30.3694</v>
      </c>
      <c r="V476" s="24">
        <v>22.8953</v>
      </c>
      <c r="W476" s="24">
        <v>4.3766</v>
      </c>
      <c r="X476" s="24">
        <v>0.0</v>
      </c>
      <c r="Y476" s="24">
        <v>0.0</v>
      </c>
      <c r="Z476" s="24">
        <v>111.0</v>
      </c>
      <c r="AA476" s="24">
        <v>21.4</v>
      </c>
      <c r="AB476" s="25"/>
      <c r="AC476" s="24">
        <v>65.9</v>
      </c>
      <c r="AD476" s="25"/>
      <c r="AE476" s="24">
        <v>1.0703</v>
      </c>
      <c r="AF476" s="24">
        <v>1.115326</v>
      </c>
      <c r="AG476" s="51" t="s">
        <v>108</v>
      </c>
      <c r="AH476" s="51" t="s">
        <v>108</v>
      </c>
      <c r="AI476" s="24">
        <v>1.257009</v>
      </c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</row>
    <row r="477">
      <c r="A477" s="51" t="s">
        <v>40</v>
      </c>
      <c r="B477" s="51" t="s">
        <v>107</v>
      </c>
      <c r="C477" s="24">
        <v>1965.0</v>
      </c>
      <c r="D477" s="24">
        <v>0.13059</v>
      </c>
      <c r="E477" s="52">
        <v>34.567</v>
      </c>
      <c r="F477" s="53">
        <f t="shared" si="1"/>
        <v>4.848599676</v>
      </c>
      <c r="G477" s="52">
        <v>3.433</v>
      </c>
      <c r="H477" s="54">
        <f t="shared" si="2"/>
        <v>0.5742705979</v>
      </c>
      <c r="I477" s="52">
        <v>22.9</v>
      </c>
      <c r="J477" s="54">
        <f t="shared" si="3"/>
        <v>3.266011826</v>
      </c>
      <c r="K477" s="55">
        <v>0.0</v>
      </c>
      <c r="L477" s="54" t="str">
        <f t="shared" si="4"/>
        <v>No Stat</v>
      </c>
      <c r="M477" s="55">
        <v>0.0</v>
      </c>
      <c r="N477" s="56" t="str">
        <f t="shared" si="5"/>
        <v>No Stat</v>
      </c>
      <c r="O477" s="57">
        <v>0.516</v>
      </c>
      <c r="P477" s="24">
        <v>33953.0</v>
      </c>
      <c r="Q477" s="24">
        <v>25597.0</v>
      </c>
      <c r="R477" s="24">
        <v>4893.0</v>
      </c>
      <c r="S477" s="24">
        <v>0.0</v>
      </c>
      <c r="T477" s="24">
        <v>0.0</v>
      </c>
      <c r="U477" s="24">
        <v>30.3694</v>
      </c>
      <c r="V477" s="24">
        <v>22.8953</v>
      </c>
      <c r="W477" s="24">
        <v>4.3766</v>
      </c>
      <c r="X477" s="24">
        <v>0.0</v>
      </c>
      <c r="Y477" s="24">
        <v>0.0</v>
      </c>
      <c r="Z477" s="24">
        <v>110.6</v>
      </c>
      <c r="AA477" s="24">
        <v>21.0</v>
      </c>
      <c r="AB477" s="25"/>
      <c r="AC477" s="24">
        <v>67.3</v>
      </c>
      <c r="AD477" s="25"/>
      <c r="AE477" s="24">
        <v>1.0741</v>
      </c>
      <c r="AF477" s="24">
        <v>1.092125</v>
      </c>
      <c r="AG477" s="51" t="s">
        <v>108</v>
      </c>
      <c r="AH477" s="51" t="s">
        <v>108</v>
      </c>
      <c r="AI477" s="24">
        <v>1.280952</v>
      </c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</row>
    <row r="478">
      <c r="A478" s="51" t="s">
        <v>40</v>
      </c>
      <c r="B478" s="51" t="s">
        <v>107</v>
      </c>
      <c r="C478" s="24">
        <v>1966.0</v>
      </c>
      <c r="D478" s="24">
        <v>0.07066</v>
      </c>
      <c r="E478" s="52">
        <v>33.5</v>
      </c>
      <c r="F478" s="53">
        <f t="shared" si="1"/>
        <v>2.434809346</v>
      </c>
      <c r="G478" s="52">
        <v>5.2</v>
      </c>
      <c r="H478" s="54">
        <f t="shared" si="2"/>
        <v>0.4316120823</v>
      </c>
      <c r="I478" s="52">
        <v>24.6</v>
      </c>
      <c r="J478" s="54">
        <f t="shared" si="3"/>
        <v>1.873319534</v>
      </c>
      <c r="K478" s="55">
        <v>0.0</v>
      </c>
      <c r="L478" s="54" t="str">
        <f t="shared" si="4"/>
        <v>No Stat</v>
      </c>
      <c r="M478" s="55">
        <v>0.0</v>
      </c>
      <c r="N478" s="56" t="str">
        <f t="shared" si="5"/>
        <v>No Stat</v>
      </c>
      <c r="O478" s="57">
        <v>0.547</v>
      </c>
      <c r="P478" s="24">
        <v>33953.0</v>
      </c>
      <c r="Q478" s="24">
        <v>25597.0</v>
      </c>
      <c r="R478" s="24">
        <v>4893.0</v>
      </c>
      <c r="S478" s="24">
        <v>0.0</v>
      </c>
      <c r="T478" s="24">
        <v>0.0</v>
      </c>
      <c r="U478" s="24">
        <v>30.3694</v>
      </c>
      <c r="V478" s="24">
        <v>22.8953</v>
      </c>
      <c r="W478" s="24">
        <v>4.3766</v>
      </c>
      <c r="X478" s="24">
        <v>0.0</v>
      </c>
      <c r="Y478" s="24">
        <v>0.0</v>
      </c>
      <c r="Z478" s="24">
        <v>115.5</v>
      </c>
      <c r="AA478" s="24">
        <v>22.9</v>
      </c>
      <c r="AB478" s="25"/>
      <c r="AC478" s="24">
        <v>68.2</v>
      </c>
      <c r="AD478" s="25"/>
      <c r="AE478" s="24">
        <v>1.0286</v>
      </c>
      <c r="AF478" s="24">
        <v>1.077713</v>
      </c>
      <c r="AG478" s="51" t="s">
        <v>108</v>
      </c>
      <c r="AH478" s="51" t="s">
        <v>108</v>
      </c>
      <c r="AI478" s="24">
        <v>1.174672</v>
      </c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</row>
    <row r="479">
      <c r="A479" s="51" t="s">
        <v>40</v>
      </c>
      <c r="B479" s="51" t="s">
        <v>107</v>
      </c>
      <c r="C479" s="24">
        <v>1967.0</v>
      </c>
      <c r="D479" s="24">
        <v>0.07245</v>
      </c>
      <c r="E479" s="52">
        <v>24.1</v>
      </c>
      <c r="F479" s="53">
        <f t="shared" si="1"/>
        <v>1.766822936</v>
      </c>
      <c r="G479" s="52">
        <v>7.8</v>
      </c>
      <c r="H479" s="54">
        <f t="shared" si="2"/>
        <v>0.6786366432</v>
      </c>
      <c r="I479" s="52">
        <v>24.2</v>
      </c>
      <c r="J479" s="54">
        <f t="shared" si="3"/>
        <v>1.914811841</v>
      </c>
      <c r="K479" s="55">
        <v>0.0</v>
      </c>
      <c r="L479" s="54" t="str">
        <f t="shared" si="4"/>
        <v>No Stat</v>
      </c>
      <c r="M479" s="55">
        <v>0.0</v>
      </c>
      <c r="N479" s="56" t="str">
        <f t="shared" si="5"/>
        <v>No Stat</v>
      </c>
      <c r="O479" s="57">
        <v>0.637</v>
      </c>
      <c r="P479" s="24">
        <v>33953.0</v>
      </c>
      <c r="Q479" s="24">
        <v>25597.0</v>
      </c>
      <c r="R479" s="24">
        <v>4893.0</v>
      </c>
      <c r="S479" s="24">
        <v>0.0</v>
      </c>
      <c r="T479" s="24">
        <v>0.0</v>
      </c>
      <c r="U479" s="24">
        <v>30.3694</v>
      </c>
      <c r="V479" s="24">
        <v>22.8953</v>
      </c>
      <c r="W479" s="24">
        <v>4.3766</v>
      </c>
      <c r="X479" s="24">
        <v>0.0</v>
      </c>
      <c r="Y479" s="24">
        <v>0.0</v>
      </c>
      <c r="Z479" s="24">
        <v>117.4</v>
      </c>
      <c r="AA479" s="24">
        <v>22.4</v>
      </c>
      <c r="AB479" s="25"/>
      <c r="AC479" s="24">
        <v>67.3</v>
      </c>
      <c r="AD479" s="25"/>
      <c r="AE479" s="24">
        <v>1.0119</v>
      </c>
      <c r="AF479" s="24">
        <v>1.092125</v>
      </c>
      <c r="AG479" s="51" t="s">
        <v>108</v>
      </c>
      <c r="AH479" s="51" t="s">
        <v>108</v>
      </c>
      <c r="AI479" s="24">
        <v>1.200893</v>
      </c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</row>
    <row r="480">
      <c r="A480" s="51" t="s">
        <v>40</v>
      </c>
      <c r="B480" s="51" t="s">
        <v>107</v>
      </c>
      <c r="C480" s="24">
        <v>1968.0</v>
      </c>
      <c r="D480" s="24">
        <v>0.07335</v>
      </c>
      <c r="E480" s="52">
        <v>24.3</v>
      </c>
      <c r="F480" s="53">
        <f t="shared" si="1"/>
        <v>1.816092455</v>
      </c>
      <c r="G480" s="52">
        <v>8.6</v>
      </c>
      <c r="H480" s="54">
        <f t="shared" si="2"/>
        <v>0.7442454083</v>
      </c>
      <c r="I480" s="52">
        <v>23.8</v>
      </c>
      <c r="J480" s="54">
        <f t="shared" si="3"/>
        <v>1.938235139</v>
      </c>
      <c r="K480" s="55">
        <v>0.0</v>
      </c>
      <c r="L480" s="54" t="str">
        <f t="shared" si="4"/>
        <v>No Stat</v>
      </c>
      <c r="M480" s="55">
        <v>0.0</v>
      </c>
      <c r="N480" s="56" t="str">
        <f t="shared" si="5"/>
        <v>No Stat</v>
      </c>
      <c r="O480" s="57">
        <v>0.557</v>
      </c>
      <c r="P480" s="24">
        <v>33953.0</v>
      </c>
      <c r="Q480" s="24">
        <v>25597.0</v>
      </c>
      <c r="R480" s="24">
        <v>4893.0</v>
      </c>
      <c r="S480" s="24">
        <v>0.0</v>
      </c>
      <c r="T480" s="24">
        <v>0.0</v>
      </c>
      <c r="U480" s="24">
        <v>30.3694</v>
      </c>
      <c r="V480" s="24">
        <v>22.8953</v>
      </c>
      <c r="W480" s="24">
        <v>4.3766</v>
      </c>
      <c r="X480" s="24">
        <v>0.0</v>
      </c>
      <c r="Y480" s="24">
        <v>0.0</v>
      </c>
      <c r="Z480" s="24">
        <v>116.6</v>
      </c>
      <c r="AA480" s="24">
        <v>22.8</v>
      </c>
      <c r="AB480" s="25"/>
      <c r="AC480" s="24">
        <v>66.2</v>
      </c>
      <c r="AD480" s="25"/>
      <c r="AE480" s="24">
        <v>1.0189</v>
      </c>
      <c r="AF480" s="24">
        <v>1.110272</v>
      </c>
      <c r="AG480" s="51" t="s">
        <v>108</v>
      </c>
      <c r="AH480" s="51" t="s">
        <v>108</v>
      </c>
      <c r="AI480" s="24">
        <v>1.179825</v>
      </c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</row>
    <row r="481">
      <c r="A481" s="51" t="s">
        <v>40</v>
      </c>
      <c r="B481" s="51" t="s">
        <v>107</v>
      </c>
      <c r="C481" s="24">
        <v>1969.0</v>
      </c>
      <c r="D481" s="24">
        <v>0.07245</v>
      </c>
      <c r="E481" s="52">
        <v>20.5</v>
      </c>
      <c r="F481" s="53">
        <f t="shared" si="1"/>
        <v>1.571219528</v>
      </c>
      <c r="G481" s="52">
        <v>4.5</v>
      </c>
      <c r="H481" s="54">
        <f t="shared" si="2"/>
        <v>0.3796567646</v>
      </c>
      <c r="I481" s="52">
        <v>21.1</v>
      </c>
      <c r="J481" s="54">
        <f t="shared" si="3"/>
        <v>1.974676479</v>
      </c>
      <c r="K481" s="55">
        <v>0.0</v>
      </c>
      <c r="L481" s="54" t="str">
        <f t="shared" si="4"/>
        <v>No Stat</v>
      </c>
      <c r="M481" s="55">
        <v>0.0</v>
      </c>
      <c r="N481" s="56" t="str">
        <f t="shared" si="5"/>
        <v>No Stat</v>
      </c>
      <c r="O481" s="57">
        <v>0.564</v>
      </c>
      <c r="P481" s="24">
        <v>33953.0</v>
      </c>
      <c r="Q481" s="24">
        <v>25597.0</v>
      </c>
      <c r="R481" s="24">
        <v>4893.0</v>
      </c>
      <c r="S481" s="24">
        <v>0.0</v>
      </c>
      <c r="T481" s="24">
        <v>0.0</v>
      </c>
      <c r="U481" s="24">
        <v>30.3694</v>
      </c>
      <c r="V481" s="24">
        <v>22.8953</v>
      </c>
      <c r="W481" s="24">
        <v>4.3766</v>
      </c>
      <c r="X481" s="24">
        <v>0.0</v>
      </c>
      <c r="Y481" s="24">
        <v>0.0</v>
      </c>
      <c r="Z481" s="24">
        <v>112.3</v>
      </c>
      <c r="AA481" s="24">
        <v>23.1</v>
      </c>
      <c r="AB481" s="25"/>
      <c r="AC481" s="24">
        <v>56.9</v>
      </c>
      <c r="AD481" s="25"/>
      <c r="AE481" s="24">
        <v>1.0579</v>
      </c>
      <c r="AF481" s="24">
        <v>1.29174</v>
      </c>
      <c r="AG481" s="51" t="s">
        <v>108</v>
      </c>
      <c r="AH481" s="51" t="s">
        <v>108</v>
      </c>
      <c r="AI481" s="24">
        <v>1.164502</v>
      </c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</row>
    <row r="482">
      <c r="A482" s="51" t="s">
        <v>40</v>
      </c>
      <c r="B482" s="51" t="s">
        <v>107</v>
      </c>
      <c r="C482" s="24">
        <v>1970.0</v>
      </c>
      <c r="D482" s="24">
        <v>0.01073</v>
      </c>
      <c r="E482" s="52">
        <v>27.3</v>
      </c>
      <c r="F482" s="53">
        <f t="shared" si="1"/>
        <v>0.298201722</v>
      </c>
      <c r="G482" s="52">
        <v>4.1</v>
      </c>
      <c r="H482" s="54">
        <f t="shared" si="2"/>
        <v>0.04791141252</v>
      </c>
      <c r="I482" s="52">
        <v>18.4</v>
      </c>
      <c r="J482" s="54">
        <f t="shared" si="3"/>
        <v>0.2743147848</v>
      </c>
      <c r="K482" s="55">
        <v>0.0</v>
      </c>
      <c r="L482" s="54" t="str">
        <f t="shared" si="4"/>
        <v>No Stat</v>
      </c>
      <c r="M482" s="55">
        <v>0.0</v>
      </c>
      <c r="N482" s="56" t="str">
        <f t="shared" si="5"/>
        <v>No Stat</v>
      </c>
      <c r="O482" s="57">
        <v>0.554</v>
      </c>
      <c r="P482" s="24">
        <v>33953.0</v>
      </c>
      <c r="Q482" s="24">
        <v>25597.0</v>
      </c>
      <c r="R482" s="24">
        <v>4893.0</v>
      </c>
      <c r="S482" s="24">
        <v>0.0</v>
      </c>
      <c r="T482" s="24">
        <v>0.0</v>
      </c>
      <c r="U482" s="24">
        <v>30.3694</v>
      </c>
      <c r="V482" s="24">
        <v>22.8953</v>
      </c>
      <c r="W482" s="24">
        <v>4.3766</v>
      </c>
      <c r="X482" s="24">
        <v>0.0</v>
      </c>
      <c r="Y482" s="24">
        <v>0.0</v>
      </c>
      <c r="Z482" s="24">
        <v>116.7</v>
      </c>
      <c r="AA482" s="24">
        <v>24.7</v>
      </c>
      <c r="AB482" s="25"/>
      <c r="AC482" s="24">
        <v>52.9</v>
      </c>
      <c r="AD482" s="25"/>
      <c r="AE482" s="24">
        <v>1.018</v>
      </c>
      <c r="AF482" s="24">
        <v>1.389414</v>
      </c>
      <c r="AG482" s="51" t="s">
        <v>108</v>
      </c>
      <c r="AH482" s="51" t="s">
        <v>108</v>
      </c>
      <c r="AI482" s="24">
        <v>1.089069</v>
      </c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</row>
    <row r="483">
      <c r="A483" s="51" t="s">
        <v>40</v>
      </c>
      <c r="B483" s="51" t="s">
        <v>107</v>
      </c>
      <c r="C483" s="24">
        <v>1971.0</v>
      </c>
      <c r="D483" s="24">
        <v>0.07335</v>
      </c>
      <c r="E483" s="52">
        <v>20.7</v>
      </c>
      <c r="F483" s="53">
        <f t="shared" si="1"/>
        <v>1.604738831</v>
      </c>
      <c r="G483" s="52">
        <v>4.3</v>
      </c>
      <c r="H483" s="54">
        <f t="shared" si="2"/>
        <v>0.3491520734</v>
      </c>
      <c r="I483" s="52">
        <v>18.2</v>
      </c>
      <c r="J483" s="54">
        <f t="shared" si="3"/>
        <v>1.84784011</v>
      </c>
      <c r="K483" s="55">
        <v>0.0</v>
      </c>
      <c r="L483" s="54" t="str">
        <f t="shared" si="4"/>
        <v>No Stat</v>
      </c>
      <c r="M483" s="55">
        <v>0.0</v>
      </c>
      <c r="N483" s="56" t="str">
        <f t="shared" si="5"/>
        <v>No Stat</v>
      </c>
      <c r="O483" s="57">
        <v>0.558</v>
      </c>
      <c r="P483" s="24">
        <v>33953.0</v>
      </c>
      <c r="Q483" s="24">
        <v>25597.0</v>
      </c>
      <c r="R483" s="24">
        <v>4893.0</v>
      </c>
      <c r="S483" s="24">
        <v>0.0</v>
      </c>
      <c r="T483" s="24">
        <v>0.0</v>
      </c>
      <c r="U483" s="24">
        <v>30.3694</v>
      </c>
      <c r="V483" s="24">
        <v>22.8953</v>
      </c>
      <c r="W483" s="24">
        <v>4.3766</v>
      </c>
      <c r="X483" s="24">
        <v>0.0</v>
      </c>
      <c r="Y483" s="24">
        <v>0.0</v>
      </c>
      <c r="Z483" s="24">
        <v>112.4</v>
      </c>
      <c r="AA483" s="24">
        <v>24.3</v>
      </c>
      <c r="AB483" s="25"/>
      <c r="AC483" s="24">
        <v>53.1</v>
      </c>
      <c r="AD483" s="25"/>
      <c r="AE483" s="24">
        <v>1.0569</v>
      </c>
      <c r="AF483" s="24">
        <v>1.384181</v>
      </c>
      <c r="AG483" s="51" t="s">
        <v>108</v>
      </c>
      <c r="AH483" s="51" t="s">
        <v>108</v>
      </c>
      <c r="AI483" s="24">
        <v>1.106996</v>
      </c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8"/>
    </row>
    <row r="484">
      <c r="A484" s="51" t="s">
        <v>40</v>
      </c>
      <c r="B484" s="51" t="s">
        <v>107</v>
      </c>
      <c r="C484" s="24">
        <v>1972.0</v>
      </c>
      <c r="D484" s="24">
        <v>0.07335</v>
      </c>
      <c r="E484" s="52">
        <v>14.8</v>
      </c>
      <c r="F484" s="53">
        <f t="shared" si="1"/>
        <v>1.17025524</v>
      </c>
      <c r="G484" s="52">
        <v>4.0</v>
      </c>
      <c r="H484" s="54">
        <f t="shared" si="2"/>
        <v>0.3274880922</v>
      </c>
      <c r="I484" s="52">
        <v>19.2</v>
      </c>
      <c r="J484" s="54">
        <f t="shared" si="3"/>
        <v>2.025665522</v>
      </c>
      <c r="K484" s="55">
        <v>0.0</v>
      </c>
      <c r="L484" s="54" t="str">
        <f t="shared" si="4"/>
        <v>No Stat</v>
      </c>
      <c r="M484" s="55">
        <v>0.0</v>
      </c>
      <c r="N484" s="56" t="str">
        <f t="shared" si="5"/>
        <v>No Stat</v>
      </c>
      <c r="O484" s="57">
        <v>0.61</v>
      </c>
      <c r="P484" s="24">
        <v>33953.0</v>
      </c>
      <c r="Q484" s="24">
        <v>25597.0</v>
      </c>
      <c r="R484" s="24">
        <v>4893.0</v>
      </c>
      <c r="S484" s="24">
        <v>0.0</v>
      </c>
      <c r="T484" s="24">
        <v>0.0</v>
      </c>
      <c r="U484" s="24">
        <v>30.3694</v>
      </c>
      <c r="V484" s="24">
        <v>22.8953</v>
      </c>
      <c r="W484" s="24">
        <v>4.3766</v>
      </c>
      <c r="X484" s="24">
        <v>0.0</v>
      </c>
      <c r="Y484" s="24">
        <v>0.0</v>
      </c>
      <c r="Z484" s="24">
        <v>110.2</v>
      </c>
      <c r="AA484" s="24">
        <v>24.1</v>
      </c>
      <c r="AB484" s="25"/>
      <c r="AC484" s="24">
        <v>51.1</v>
      </c>
      <c r="AD484" s="25"/>
      <c r="AE484" s="24">
        <v>1.078</v>
      </c>
      <c r="AF484" s="24">
        <v>1.438356</v>
      </c>
      <c r="AG484" s="51" t="s">
        <v>108</v>
      </c>
      <c r="AH484" s="51" t="s">
        <v>108</v>
      </c>
      <c r="AI484" s="24">
        <v>1.116183</v>
      </c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</row>
    <row r="485">
      <c r="A485" s="51" t="s">
        <v>40</v>
      </c>
      <c r="B485" s="51" t="s">
        <v>107</v>
      </c>
      <c r="C485" s="24">
        <v>1973.0</v>
      </c>
      <c r="D485" s="24">
        <v>0.07335</v>
      </c>
      <c r="E485" s="52">
        <v>13.2</v>
      </c>
      <c r="F485" s="53">
        <f t="shared" si="1"/>
        <v>1.069011702</v>
      </c>
      <c r="G485" s="52">
        <v>4.5</v>
      </c>
      <c r="H485" s="54">
        <f t="shared" si="2"/>
        <v>0.3523418595</v>
      </c>
      <c r="I485" s="52">
        <v>18.6</v>
      </c>
      <c r="J485" s="54">
        <f t="shared" si="3"/>
        <v>1.981754412</v>
      </c>
      <c r="K485" s="55">
        <v>0.0</v>
      </c>
      <c r="L485" s="54" t="str">
        <f t="shared" si="4"/>
        <v>No Stat</v>
      </c>
      <c r="M485" s="55">
        <v>0.0</v>
      </c>
      <c r="N485" s="56" t="str">
        <f t="shared" si="5"/>
        <v>No Stat</v>
      </c>
      <c r="O485" s="57">
        <v>0.689</v>
      </c>
      <c r="P485" s="24">
        <v>33953.0</v>
      </c>
      <c r="Q485" s="24">
        <v>25597.0</v>
      </c>
      <c r="R485" s="24">
        <v>4893.0</v>
      </c>
      <c r="S485" s="24">
        <v>0.0</v>
      </c>
      <c r="T485" s="24">
        <v>0.0</v>
      </c>
      <c r="U485" s="24">
        <v>30.3694</v>
      </c>
      <c r="V485" s="24">
        <v>22.8953</v>
      </c>
      <c r="W485" s="24">
        <v>4.3766</v>
      </c>
      <c r="X485" s="24">
        <v>0.0</v>
      </c>
      <c r="Y485" s="24">
        <v>0.0</v>
      </c>
      <c r="Z485" s="24">
        <v>107.6</v>
      </c>
      <c r="AA485" s="24">
        <v>25.2</v>
      </c>
      <c r="AB485" s="25"/>
      <c r="AC485" s="24">
        <v>50.6</v>
      </c>
      <c r="AD485" s="25"/>
      <c r="AE485" s="24">
        <v>1.1041</v>
      </c>
      <c r="AF485" s="24">
        <v>1.452569</v>
      </c>
      <c r="AG485" s="51" t="s">
        <v>108</v>
      </c>
      <c r="AH485" s="51" t="s">
        <v>108</v>
      </c>
      <c r="AI485" s="24">
        <v>1.06746</v>
      </c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</row>
    <row r="486">
      <c r="A486" s="63" t="s">
        <v>67</v>
      </c>
      <c r="B486" s="63" t="s">
        <v>111</v>
      </c>
      <c r="C486" s="58">
        <v>2014.0</v>
      </c>
      <c r="D486" s="58">
        <v>0.092548</v>
      </c>
      <c r="E486" s="58">
        <v>6.8</v>
      </c>
      <c r="F486" s="53">
        <f t="shared" si="1"/>
        <v>0.7402137117</v>
      </c>
      <c r="G486" s="58">
        <v>1.9</v>
      </c>
      <c r="H486" s="54">
        <f t="shared" si="2"/>
        <v>0.215005783</v>
      </c>
      <c r="I486" s="58">
        <v>4.4</v>
      </c>
      <c r="J486" s="54">
        <f t="shared" si="3"/>
        <v>0.7009371179</v>
      </c>
      <c r="K486" s="64">
        <v>1.168831169</v>
      </c>
      <c r="L486" s="54">
        <f t="shared" si="4"/>
        <v>0.1348649961</v>
      </c>
      <c r="M486" s="58">
        <v>1.188312</v>
      </c>
      <c r="N486" s="56">
        <f t="shared" si="5"/>
        <v>0.1310350739</v>
      </c>
      <c r="O486" s="6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>
        <f t="shared" ref="Z486:Z528" si="6">averageif($C$2:$C$485,C486,$Z$2:$Z$485)</f>
        <v>101</v>
      </c>
      <c r="AA486" s="35">
        <f t="shared" ref="AA486:AA528" si="7">averageif($C$2:$C$485,C486,$AA$2:$AA$485)</f>
        <v>22</v>
      </c>
      <c r="AB486" s="35">
        <f t="shared" ref="AB486:AB528" si="8">averageif($C$2:$C$485,C486,$AB$2:$AB$485)</f>
        <v>4.7</v>
      </c>
      <c r="AC486" s="35">
        <f t="shared" ref="AC486:AC528" si="9">averageif($C$2:$C$485,C486,$AC$2:$AC$485)</f>
        <v>42.7</v>
      </c>
      <c r="AD486" s="35">
        <f t="shared" ref="AD486:AD528" si="10">averageif($C$2:$C$485,C486,$AD$2:$AD$485)</f>
        <v>7.7</v>
      </c>
      <c r="AE486" s="35">
        <f t="shared" ref="AE486:AE528" si="11">averageif($C$2:$C$485,C486,$AE$2:$AE$485)</f>
        <v>1.1762</v>
      </c>
      <c r="AF486" s="35">
        <f t="shared" ref="AF486:AF528" si="12">averageif($C$2:$C$485,C486,$AF$2:$AF$485)</f>
        <v>1.721311</v>
      </c>
      <c r="AG486" s="35">
        <f t="shared" ref="AG486:AG528" si="13">averageif($C$2:$C$485,C486,$AG$2:$AG$485)</f>
        <v>1.246753</v>
      </c>
      <c r="AH486" s="35">
        <f t="shared" ref="AH486:AH528" si="14">averageif($C$2:$C$485,C486,$AH$2:$AH$485)</f>
        <v>1.191489</v>
      </c>
      <c r="AI486" s="35">
        <f t="shared" ref="AI486:AI528" si="15">averageif($C$2:$C$485,C486,$AI$2:$AI$485)</f>
        <v>1.222727</v>
      </c>
    </row>
    <row r="487">
      <c r="A487" s="63" t="s">
        <v>67</v>
      </c>
      <c r="B487" s="63" t="s">
        <v>111</v>
      </c>
      <c r="C487" s="58">
        <v>2015.0</v>
      </c>
      <c r="D487" s="58">
        <v>0.097356</v>
      </c>
      <c r="E487" s="58">
        <v>12.7</v>
      </c>
      <c r="F487" s="53">
        <f t="shared" si="1"/>
        <v>1.468868386</v>
      </c>
      <c r="G487" s="58">
        <v>2.6</v>
      </c>
      <c r="H487" s="54">
        <f t="shared" si="2"/>
        <v>0.3095035055</v>
      </c>
      <c r="I487" s="58">
        <v>6.7</v>
      </c>
      <c r="J487" s="54">
        <f t="shared" si="3"/>
        <v>1.107228036</v>
      </c>
      <c r="K487" s="64">
        <v>1.351851852</v>
      </c>
      <c r="L487" s="54">
        <f t="shared" si="4"/>
        <v>0.1640862706</v>
      </c>
      <c r="M487" s="58">
        <v>1.574074</v>
      </c>
      <c r="N487" s="56">
        <f t="shared" si="5"/>
        <v>0.1787865241</v>
      </c>
      <c r="O487" s="6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>
        <f t="shared" si="6"/>
        <v>100</v>
      </c>
      <c r="AA487" s="35">
        <f t="shared" si="7"/>
        <v>22</v>
      </c>
      <c r="AB487" s="35">
        <f t="shared" si="8"/>
        <v>4.8</v>
      </c>
      <c r="AC487" s="35">
        <f t="shared" si="9"/>
        <v>43.3</v>
      </c>
      <c r="AD487" s="35">
        <f t="shared" si="10"/>
        <v>7.7</v>
      </c>
      <c r="AE487" s="35">
        <f t="shared" si="11"/>
        <v>1.188</v>
      </c>
      <c r="AF487" s="35">
        <f t="shared" si="12"/>
        <v>1.69746</v>
      </c>
      <c r="AG487" s="35">
        <f t="shared" si="13"/>
        <v>1.246753</v>
      </c>
      <c r="AH487" s="35">
        <f t="shared" si="14"/>
        <v>1.166667</v>
      </c>
      <c r="AI487" s="35">
        <f t="shared" si="15"/>
        <v>1.222727</v>
      </c>
    </row>
    <row r="488">
      <c r="A488" s="63" t="s">
        <v>67</v>
      </c>
      <c r="B488" s="63" t="s">
        <v>111</v>
      </c>
      <c r="C488" s="58">
        <v>2016.0</v>
      </c>
      <c r="D488" s="58">
        <v>0.096154</v>
      </c>
      <c r="E488" s="58">
        <v>16.9</v>
      </c>
      <c r="F488" s="53">
        <f t="shared" si="1"/>
        <v>1.879803008</v>
      </c>
      <c r="G488" s="58">
        <v>4.3</v>
      </c>
      <c r="H488" s="54">
        <f t="shared" si="2"/>
        <v>0.4987503557</v>
      </c>
      <c r="I488" s="58">
        <v>7.7</v>
      </c>
      <c r="J488" s="54">
        <f t="shared" si="3"/>
        <v>1.242428084</v>
      </c>
      <c r="K488" s="64">
        <v>1.7625</v>
      </c>
      <c r="L488" s="54">
        <f t="shared" si="4"/>
        <v>0.2085801763</v>
      </c>
      <c r="M488" s="58">
        <v>2.11875</v>
      </c>
      <c r="N488" s="56">
        <f t="shared" si="5"/>
        <v>0.228173442</v>
      </c>
      <c r="O488" s="6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>
        <f t="shared" si="6"/>
        <v>102.7</v>
      </c>
      <c r="AA488" s="35">
        <f t="shared" si="7"/>
        <v>22.3</v>
      </c>
      <c r="AB488" s="35">
        <f t="shared" si="8"/>
        <v>5</v>
      </c>
      <c r="AC488" s="35">
        <f t="shared" si="9"/>
        <v>43.8</v>
      </c>
      <c r="AD488" s="35">
        <f t="shared" si="10"/>
        <v>7.8</v>
      </c>
      <c r="AE488" s="35">
        <f t="shared" si="11"/>
        <v>1.1568</v>
      </c>
      <c r="AF488" s="35">
        <f t="shared" si="12"/>
        <v>1.678082</v>
      </c>
      <c r="AG488" s="35">
        <f t="shared" si="13"/>
        <v>1.230769</v>
      </c>
      <c r="AH488" s="35">
        <f t="shared" si="14"/>
        <v>1.12</v>
      </c>
      <c r="AI488" s="35">
        <f t="shared" si="15"/>
        <v>1.206278</v>
      </c>
    </row>
    <row r="489">
      <c r="A489" s="63" t="s">
        <v>67</v>
      </c>
      <c r="B489" s="63" t="s">
        <v>111</v>
      </c>
      <c r="C489" s="58">
        <v>2017.0</v>
      </c>
      <c r="D489" s="58">
        <v>0.096154</v>
      </c>
      <c r="E489" s="58">
        <v>22.9</v>
      </c>
      <c r="F489" s="53">
        <f t="shared" si="1"/>
        <v>2.477167425</v>
      </c>
      <c r="G489" s="58">
        <v>5.4</v>
      </c>
      <c r="H489" s="54">
        <f t="shared" si="2"/>
        <v>0.6180232004</v>
      </c>
      <c r="I489" s="58">
        <v>8.8</v>
      </c>
      <c r="J489" s="54">
        <f t="shared" si="3"/>
        <v>1.429710364</v>
      </c>
      <c r="K489" s="64">
        <v>2.45625</v>
      </c>
      <c r="L489" s="54">
        <f t="shared" si="4"/>
        <v>0.2944559573</v>
      </c>
      <c r="M489" s="58">
        <v>2.83125</v>
      </c>
      <c r="N489" s="56">
        <f t="shared" si="5"/>
        <v>0.3243662143</v>
      </c>
      <c r="O489" s="6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>
        <f t="shared" si="6"/>
        <v>105.6</v>
      </c>
      <c r="AA489" s="35">
        <f t="shared" si="7"/>
        <v>22.6</v>
      </c>
      <c r="AB489" s="35">
        <f t="shared" si="8"/>
        <v>4.7</v>
      </c>
      <c r="AC489" s="35">
        <f t="shared" si="9"/>
        <v>43.5</v>
      </c>
      <c r="AD489" s="35">
        <f t="shared" si="10"/>
        <v>7.7</v>
      </c>
      <c r="AE489" s="35">
        <f t="shared" si="11"/>
        <v>1.125</v>
      </c>
      <c r="AF489" s="35">
        <f t="shared" si="12"/>
        <v>1.689655</v>
      </c>
      <c r="AG489" s="35">
        <f t="shared" si="13"/>
        <v>1.246753</v>
      </c>
      <c r="AH489" s="35">
        <f t="shared" si="14"/>
        <v>1.191489</v>
      </c>
      <c r="AI489" s="35">
        <f t="shared" si="15"/>
        <v>1.190265</v>
      </c>
    </row>
    <row r="490">
      <c r="A490" s="63" t="s">
        <v>67</v>
      </c>
      <c r="B490" s="63" t="s">
        <v>111</v>
      </c>
      <c r="C490" s="58">
        <v>2018.0</v>
      </c>
      <c r="D490" s="58">
        <v>0.090144</v>
      </c>
      <c r="E490" s="58">
        <v>26.9</v>
      </c>
      <c r="F490" s="53">
        <f t="shared" si="1"/>
        <v>2.710038735</v>
      </c>
      <c r="G490" s="58">
        <v>4.8</v>
      </c>
      <c r="H490" s="54">
        <f t="shared" si="2"/>
        <v>0.5016980906</v>
      </c>
      <c r="I490" s="58">
        <v>10.0</v>
      </c>
      <c r="J490" s="54">
        <f t="shared" si="3"/>
        <v>1.523122603</v>
      </c>
      <c r="K490" s="64">
        <v>2.18</v>
      </c>
      <c r="L490" s="54">
        <f t="shared" si="4"/>
        <v>0.2450043193</v>
      </c>
      <c r="M490" s="58">
        <v>2.12</v>
      </c>
      <c r="N490" s="56">
        <f t="shared" si="5"/>
        <v>0.2229562237</v>
      </c>
      <c r="O490" s="6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>
        <f t="shared" si="6"/>
        <v>106.3</v>
      </c>
      <c r="AA490" s="35">
        <f t="shared" si="7"/>
        <v>23.2</v>
      </c>
      <c r="AB490" s="35">
        <f t="shared" si="8"/>
        <v>4.8</v>
      </c>
      <c r="AC490" s="35">
        <f t="shared" si="9"/>
        <v>43.5</v>
      </c>
      <c r="AD490" s="35">
        <f t="shared" si="10"/>
        <v>7.7</v>
      </c>
      <c r="AE490" s="35">
        <f t="shared" si="11"/>
        <v>1.1176</v>
      </c>
      <c r="AF490" s="35">
        <f t="shared" si="12"/>
        <v>1.689655</v>
      </c>
      <c r="AG490" s="35">
        <f t="shared" si="13"/>
        <v>1.246753</v>
      </c>
      <c r="AH490" s="35">
        <f t="shared" si="14"/>
        <v>1.166667</v>
      </c>
      <c r="AI490" s="35">
        <f t="shared" si="15"/>
        <v>1.159483</v>
      </c>
    </row>
    <row r="491">
      <c r="A491" s="63" t="s">
        <v>67</v>
      </c>
      <c r="B491" s="63" t="s">
        <v>111</v>
      </c>
      <c r="C491" s="58">
        <v>2019.0</v>
      </c>
      <c r="D491" s="58">
        <v>0.086538</v>
      </c>
      <c r="E491" s="58">
        <v>27.7</v>
      </c>
      <c r="F491" s="53">
        <f t="shared" si="1"/>
        <v>2.560824708</v>
      </c>
      <c r="G491" s="58">
        <v>5.9</v>
      </c>
      <c r="H491" s="54">
        <f t="shared" si="2"/>
        <v>0.5583108454</v>
      </c>
      <c r="I491" s="58">
        <v>12.5</v>
      </c>
      <c r="J491" s="54">
        <f t="shared" si="3"/>
        <v>1.758999513</v>
      </c>
      <c r="K491" s="64">
        <v>1.916666667</v>
      </c>
      <c r="L491" s="54">
        <f t="shared" si="4"/>
        <v>0.2095130701</v>
      </c>
      <c r="M491" s="58">
        <v>2.291667</v>
      </c>
      <c r="N491" s="56">
        <f t="shared" si="5"/>
        <v>0.2221142323</v>
      </c>
      <c r="O491" s="6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>
        <f t="shared" si="6"/>
        <v>111.2</v>
      </c>
      <c r="AA491" s="35">
        <f t="shared" si="7"/>
        <v>24.6</v>
      </c>
      <c r="AB491" s="35">
        <f t="shared" si="8"/>
        <v>5</v>
      </c>
      <c r="AC491" s="35">
        <f t="shared" si="9"/>
        <v>45.2</v>
      </c>
      <c r="AD491" s="35">
        <f t="shared" si="10"/>
        <v>7.6</v>
      </c>
      <c r="AE491" s="35">
        <f t="shared" si="11"/>
        <v>1.0683</v>
      </c>
      <c r="AF491" s="35">
        <f t="shared" si="12"/>
        <v>1.626106</v>
      </c>
      <c r="AG491" s="35">
        <f t="shared" si="13"/>
        <v>1.263158</v>
      </c>
      <c r="AH491" s="35">
        <f t="shared" si="14"/>
        <v>1.12</v>
      </c>
      <c r="AI491" s="35">
        <f t="shared" si="15"/>
        <v>1.093496</v>
      </c>
    </row>
    <row r="492">
      <c r="A492" s="63" t="s">
        <v>67</v>
      </c>
      <c r="B492" s="63" t="s">
        <v>111</v>
      </c>
      <c r="C492" s="58">
        <v>2020.0</v>
      </c>
      <c r="D492" s="58">
        <v>0.075721</v>
      </c>
      <c r="E492" s="58">
        <v>29.5</v>
      </c>
      <c r="F492" s="53">
        <f t="shared" si="1"/>
        <v>2.373603471</v>
      </c>
      <c r="G492" s="58">
        <v>5.6</v>
      </c>
      <c r="H492" s="54">
        <f t="shared" si="2"/>
        <v>0.4674840685</v>
      </c>
      <c r="I492" s="58">
        <v>13.6</v>
      </c>
      <c r="J492" s="54">
        <f t="shared" si="3"/>
        <v>1.689524813</v>
      </c>
      <c r="K492" s="64">
        <v>1.452380952</v>
      </c>
      <c r="L492" s="54">
        <f t="shared" si="4"/>
        <v>0.1389167333</v>
      </c>
      <c r="M492" s="58">
        <v>1.571429</v>
      </c>
      <c r="N492" s="56">
        <f t="shared" si="5"/>
        <v>0.1359887548</v>
      </c>
      <c r="O492" s="6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>
        <f t="shared" si="6"/>
        <v>111.8</v>
      </c>
      <c r="AA492" s="35">
        <f t="shared" si="7"/>
        <v>24.4</v>
      </c>
      <c r="AB492" s="35">
        <f t="shared" si="8"/>
        <v>4.9</v>
      </c>
      <c r="AC492" s="35">
        <f t="shared" si="9"/>
        <v>44.8</v>
      </c>
      <c r="AD492" s="35">
        <f t="shared" si="10"/>
        <v>7.6</v>
      </c>
      <c r="AE492" s="35">
        <f t="shared" si="11"/>
        <v>1.0626</v>
      </c>
      <c r="AF492" s="35">
        <f t="shared" si="12"/>
        <v>1.640625</v>
      </c>
      <c r="AG492" s="35">
        <f t="shared" si="13"/>
        <v>1.263158</v>
      </c>
      <c r="AH492" s="35">
        <f t="shared" si="14"/>
        <v>1.142857</v>
      </c>
      <c r="AI492" s="35">
        <f t="shared" si="15"/>
        <v>1.102459</v>
      </c>
    </row>
    <row r="493">
      <c r="A493" s="63" t="s">
        <v>67</v>
      </c>
      <c r="B493" s="63" t="s">
        <v>111</v>
      </c>
      <c r="C493" s="58">
        <v>2021.0</v>
      </c>
      <c r="D493" s="58">
        <v>0.073317</v>
      </c>
      <c r="E493" s="58">
        <v>28.1</v>
      </c>
      <c r="F493" s="53">
        <f t="shared" si="1"/>
        <v>2.18340812</v>
      </c>
      <c r="G493" s="58">
        <v>5.9</v>
      </c>
      <c r="H493" s="54">
        <f t="shared" si="2"/>
        <v>0.4691990553</v>
      </c>
      <c r="I493" s="58">
        <v>11.0</v>
      </c>
      <c r="J493" s="54">
        <f t="shared" si="3"/>
        <v>1.338076454</v>
      </c>
      <c r="K493" s="64">
        <v>1.770491803</v>
      </c>
      <c r="L493" s="54">
        <f t="shared" si="4"/>
        <v>0.1639669368</v>
      </c>
      <c r="M493" s="58">
        <v>1.795082</v>
      </c>
      <c r="N493" s="56">
        <f t="shared" si="5"/>
        <v>0.1504114406</v>
      </c>
      <c r="O493" s="6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>
        <f t="shared" si="6"/>
        <v>112.1</v>
      </c>
      <c r="AA493" s="35">
        <f t="shared" si="7"/>
        <v>24.8</v>
      </c>
      <c r="AB493" s="35">
        <f t="shared" si="8"/>
        <v>4.9</v>
      </c>
      <c r="AC493" s="35">
        <f t="shared" si="9"/>
        <v>44.3</v>
      </c>
      <c r="AD493" s="35">
        <f t="shared" si="10"/>
        <v>7.6</v>
      </c>
      <c r="AE493" s="35">
        <f t="shared" si="11"/>
        <v>1.0598</v>
      </c>
      <c r="AF493" s="35">
        <f t="shared" si="12"/>
        <v>1.659142</v>
      </c>
      <c r="AG493" s="35">
        <f t="shared" si="13"/>
        <v>1.263158</v>
      </c>
      <c r="AH493" s="35">
        <f t="shared" si="14"/>
        <v>1.142857</v>
      </c>
      <c r="AI493" s="35">
        <f t="shared" si="15"/>
        <v>1.084677</v>
      </c>
    </row>
    <row r="494">
      <c r="A494" s="63" t="s">
        <v>67</v>
      </c>
      <c r="B494" s="63" t="s">
        <v>111</v>
      </c>
      <c r="C494" s="58">
        <v>2022.0</v>
      </c>
      <c r="D494" s="58">
        <v>0.080529</v>
      </c>
      <c r="E494" s="58">
        <v>29.9</v>
      </c>
      <c r="F494" s="53">
        <f t="shared" si="1"/>
        <v>2.586236347</v>
      </c>
      <c r="G494" s="58">
        <v>5.8</v>
      </c>
      <c r="H494" s="54">
        <f t="shared" si="2"/>
        <v>0.5107372084</v>
      </c>
      <c r="I494" s="58">
        <v>11.6</v>
      </c>
      <c r="J494" s="54">
        <f t="shared" si="3"/>
        <v>1.54289908</v>
      </c>
      <c r="K494" s="64">
        <v>1.611940299</v>
      </c>
      <c r="L494" s="54">
        <f t="shared" si="4"/>
        <v>0.1639679383</v>
      </c>
      <c r="M494" s="58">
        <v>2.037313</v>
      </c>
      <c r="N494" s="56">
        <f t="shared" si="5"/>
        <v>0.195478996</v>
      </c>
      <c r="O494" s="6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>
        <f t="shared" si="6"/>
        <v>110.6</v>
      </c>
      <c r="AA494" s="35">
        <f t="shared" si="7"/>
        <v>24.6</v>
      </c>
      <c r="AB494" s="35">
        <f t="shared" si="8"/>
        <v>4.7</v>
      </c>
      <c r="AC494" s="35">
        <f t="shared" si="9"/>
        <v>44.5</v>
      </c>
      <c r="AD494" s="35">
        <f t="shared" si="10"/>
        <v>7.6</v>
      </c>
      <c r="AE494" s="35">
        <f t="shared" si="11"/>
        <v>1.0741</v>
      </c>
      <c r="AF494" s="35">
        <f t="shared" si="12"/>
        <v>1.651685</v>
      </c>
      <c r="AG494" s="35">
        <f t="shared" si="13"/>
        <v>1.263158</v>
      </c>
      <c r="AH494" s="35">
        <f t="shared" si="14"/>
        <v>1.191489</v>
      </c>
      <c r="AI494" s="35">
        <f t="shared" si="15"/>
        <v>1.093496</v>
      </c>
    </row>
    <row r="495">
      <c r="A495" s="63" t="s">
        <v>67</v>
      </c>
      <c r="B495" s="63" t="s">
        <v>111</v>
      </c>
      <c r="C495" s="58">
        <v>2023.0</v>
      </c>
      <c r="D495" s="58">
        <v>0.075721</v>
      </c>
      <c r="E495" s="58">
        <v>31.1</v>
      </c>
      <c r="F495" s="53">
        <f t="shared" si="1"/>
        <v>2.438993855</v>
      </c>
      <c r="G495" s="58">
        <v>5.7</v>
      </c>
      <c r="H495" s="54">
        <f t="shared" si="2"/>
        <v>0.458905129</v>
      </c>
      <c r="I495" s="58">
        <v>11.8</v>
      </c>
      <c r="J495" s="54">
        <f t="shared" si="3"/>
        <v>1.513198348</v>
      </c>
      <c r="K495" s="64">
        <v>1.238095238</v>
      </c>
      <c r="L495" s="54">
        <f t="shared" si="4"/>
        <v>0.1232873745</v>
      </c>
      <c r="M495" s="58">
        <v>1.214286</v>
      </c>
      <c r="N495" s="56">
        <f t="shared" si="5"/>
        <v>0.1095537798</v>
      </c>
      <c r="O495" s="6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>
        <f t="shared" si="6"/>
        <v>114.7</v>
      </c>
      <c r="AA495" s="35">
        <f t="shared" si="7"/>
        <v>25.3</v>
      </c>
      <c r="AB495" s="35">
        <f t="shared" si="8"/>
        <v>4.7</v>
      </c>
      <c r="AC495" s="35">
        <f t="shared" si="9"/>
        <v>43.4</v>
      </c>
      <c r="AD495" s="35">
        <f t="shared" si="10"/>
        <v>7.3</v>
      </c>
      <c r="AE495" s="35">
        <f t="shared" si="11"/>
        <v>1.0357</v>
      </c>
      <c r="AF495" s="35">
        <f t="shared" si="12"/>
        <v>1.693548</v>
      </c>
      <c r="AG495" s="35">
        <f t="shared" si="13"/>
        <v>1.315068</v>
      </c>
      <c r="AH495" s="35">
        <f t="shared" si="14"/>
        <v>1.191489</v>
      </c>
      <c r="AI495" s="35">
        <f t="shared" si="15"/>
        <v>1.063241</v>
      </c>
    </row>
    <row r="496">
      <c r="A496" s="63" t="s">
        <v>67</v>
      </c>
      <c r="B496" s="63" t="s">
        <v>111</v>
      </c>
      <c r="C496" s="58">
        <v>2024.0</v>
      </c>
      <c r="D496" s="58">
        <v>0.08774</v>
      </c>
      <c r="E496" s="58">
        <v>30.4</v>
      </c>
      <c r="F496" s="53">
        <f t="shared" si="1"/>
        <v>2.774788029</v>
      </c>
      <c r="G496" s="58">
        <v>6.5</v>
      </c>
      <c r="H496" s="54">
        <f t="shared" si="2"/>
        <v>0.5745821922</v>
      </c>
      <c r="I496" s="58">
        <v>11.5</v>
      </c>
      <c r="J496" s="54">
        <f t="shared" si="3"/>
        <v>1.704878792</v>
      </c>
      <c r="K496" s="64">
        <v>1.787671233</v>
      </c>
      <c r="L496" s="54">
        <f t="shared" si="4"/>
        <v>0.2007683507</v>
      </c>
      <c r="M496" s="58">
        <v>1.623288</v>
      </c>
      <c r="N496" s="56">
        <f t="shared" si="5"/>
        <v>0.1563907181</v>
      </c>
      <c r="O496" s="6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>
        <f t="shared" si="6"/>
        <v>114.2</v>
      </c>
      <c r="AA496" s="35">
        <f t="shared" si="7"/>
        <v>26.7</v>
      </c>
      <c r="AB496" s="35">
        <f t="shared" si="8"/>
        <v>5.1</v>
      </c>
      <c r="AC496" s="35">
        <f t="shared" si="9"/>
        <v>43.5</v>
      </c>
      <c r="AD496" s="35">
        <f t="shared" si="10"/>
        <v>7.5</v>
      </c>
      <c r="AE496" s="35">
        <f t="shared" si="11"/>
        <v>1.0403</v>
      </c>
      <c r="AF496" s="35">
        <f t="shared" si="12"/>
        <v>1.689655</v>
      </c>
      <c r="AG496" s="35">
        <f t="shared" si="13"/>
        <v>1.28</v>
      </c>
      <c r="AH496" s="35">
        <f t="shared" si="14"/>
        <v>1.098039</v>
      </c>
      <c r="AI496" s="35">
        <f t="shared" si="15"/>
        <v>1.007491</v>
      </c>
    </row>
    <row r="497">
      <c r="A497" s="63" t="s">
        <v>67</v>
      </c>
      <c r="B497" s="63" t="s">
        <v>111</v>
      </c>
      <c r="C497" s="58">
        <v>2025.0</v>
      </c>
      <c r="D497" s="58">
        <v>0.048077</v>
      </c>
      <c r="E497" s="58">
        <v>31.8</v>
      </c>
      <c r="F497" s="53">
        <f t="shared" si="1"/>
        <v>1.595965054</v>
      </c>
      <c r="G497" s="58">
        <v>5.9</v>
      </c>
      <c r="H497" s="54">
        <f t="shared" si="2"/>
        <v>0.287935778</v>
      </c>
      <c r="I497" s="58">
        <v>12.2</v>
      </c>
      <c r="J497" s="54">
        <f t="shared" si="3"/>
        <v>0.9775658622</v>
      </c>
      <c r="K497" s="64">
        <v>1.0875</v>
      </c>
      <c r="L497" s="54">
        <f t="shared" si="4"/>
        <v>0.06121024457</v>
      </c>
      <c r="M497" s="58">
        <v>1.9875</v>
      </c>
      <c r="N497" s="56">
        <f t="shared" si="5"/>
        <v>0.1092034578</v>
      </c>
      <c r="O497" s="6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>
        <f t="shared" si="6"/>
        <v>113.8</v>
      </c>
      <c r="AA497" s="35">
        <f t="shared" si="7"/>
        <v>26.5</v>
      </c>
      <c r="AB497" s="35">
        <f t="shared" si="8"/>
        <v>4.9</v>
      </c>
      <c r="AC497" s="35">
        <f t="shared" si="9"/>
        <v>44.1</v>
      </c>
      <c r="AD497" s="35">
        <f t="shared" si="10"/>
        <v>8.2</v>
      </c>
      <c r="AE497" s="35">
        <f t="shared" si="11"/>
        <v>1.0439</v>
      </c>
      <c r="AF497" s="35">
        <f t="shared" si="12"/>
        <v>1.666667</v>
      </c>
      <c r="AG497" s="35">
        <f t="shared" si="13"/>
        <v>1.170732</v>
      </c>
      <c r="AH497" s="35">
        <f t="shared" si="14"/>
        <v>1.142857</v>
      </c>
      <c r="AI497" s="35">
        <f t="shared" si="15"/>
        <v>1.015094</v>
      </c>
    </row>
    <row r="498">
      <c r="A498" s="63" t="s">
        <v>68</v>
      </c>
      <c r="B498" s="63" t="s">
        <v>107</v>
      </c>
      <c r="C498" s="58">
        <v>1975.0</v>
      </c>
      <c r="D498" s="58">
        <v>0.054001</v>
      </c>
      <c r="E498" s="58">
        <v>18.8</v>
      </c>
      <c r="F498" s="53">
        <f t="shared" si="1"/>
        <v>1.175521849</v>
      </c>
      <c r="G498" s="58">
        <v>1.0</v>
      </c>
      <c r="H498" s="54">
        <f t="shared" si="2"/>
        <v>0.06103473825</v>
      </c>
      <c r="I498" s="58">
        <v>14.6</v>
      </c>
      <c r="J498" s="54">
        <f t="shared" si="3"/>
        <v>1.230328867</v>
      </c>
      <c r="K498" s="64">
        <v>1.536144578</v>
      </c>
      <c r="L498" s="54">
        <f t="shared" si="4"/>
        <v>0.09049454885</v>
      </c>
      <c r="M498" s="58">
        <v>2.313253</v>
      </c>
      <c r="N498" s="56">
        <f t="shared" si="5"/>
        <v>0.162683927</v>
      </c>
      <c r="O498" s="6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>
        <f t="shared" si="6"/>
        <v>102.6</v>
      </c>
      <c r="AA498" s="35">
        <f t="shared" si="7"/>
        <v>23.8</v>
      </c>
      <c r="AB498" s="35">
        <f t="shared" si="8"/>
        <v>4.3</v>
      </c>
      <c r="AC498" s="35">
        <f t="shared" si="9"/>
        <v>47.1</v>
      </c>
      <c r="AD498" s="35">
        <f t="shared" si="10"/>
        <v>8.8</v>
      </c>
      <c r="AE498" s="35">
        <f t="shared" si="11"/>
        <v>1.1579</v>
      </c>
      <c r="AF498" s="35">
        <f t="shared" si="12"/>
        <v>1.56051</v>
      </c>
      <c r="AG498" s="35">
        <f t="shared" si="13"/>
        <v>1.090909</v>
      </c>
      <c r="AH498" s="35">
        <f t="shared" si="14"/>
        <v>1.302326</v>
      </c>
      <c r="AI498" s="35">
        <f t="shared" si="15"/>
        <v>1.130252</v>
      </c>
    </row>
    <row r="499">
      <c r="A499" s="63" t="s">
        <v>68</v>
      </c>
      <c r="B499" s="63" t="s">
        <v>107</v>
      </c>
      <c r="C499" s="58">
        <v>1976.0</v>
      </c>
      <c r="D499" s="58">
        <v>0.027977</v>
      </c>
      <c r="E499" s="58">
        <v>14.3</v>
      </c>
      <c r="F499" s="53">
        <f t="shared" si="1"/>
        <v>0.4556809829</v>
      </c>
      <c r="G499" s="58">
        <v>1.3</v>
      </c>
      <c r="H499" s="54">
        <f t="shared" si="2"/>
        <v>0.04253719601</v>
      </c>
      <c r="I499" s="58">
        <v>9.6</v>
      </c>
      <c r="J499" s="54">
        <f t="shared" si="3"/>
        <v>0.4164677706</v>
      </c>
      <c r="K499" s="64">
        <v>0.872093023</v>
      </c>
      <c r="L499" s="54">
        <f t="shared" si="4"/>
        <v>0.02631754098</v>
      </c>
      <c r="M499" s="58">
        <v>0.976744</v>
      </c>
      <c r="N499" s="56">
        <f t="shared" si="5"/>
        <v>0.03477900495</v>
      </c>
      <c r="O499" s="6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>
        <f t="shared" si="6"/>
        <v>104.3</v>
      </c>
      <c r="AA499" s="35">
        <f t="shared" si="7"/>
        <v>23</v>
      </c>
      <c r="AB499" s="35">
        <f t="shared" si="8"/>
        <v>4.4</v>
      </c>
      <c r="AC499" s="35">
        <f t="shared" si="9"/>
        <v>47.4</v>
      </c>
      <c r="AD499" s="35">
        <f t="shared" si="10"/>
        <v>8.9</v>
      </c>
      <c r="AE499" s="35">
        <f t="shared" si="11"/>
        <v>1.139</v>
      </c>
      <c r="AF499" s="35">
        <f t="shared" si="12"/>
        <v>1.550633</v>
      </c>
      <c r="AG499" s="35">
        <f t="shared" si="13"/>
        <v>1.078652</v>
      </c>
      <c r="AH499" s="35">
        <f t="shared" si="14"/>
        <v>1.272727</v>
      </c>
      <c r="AI499" s="35">
        <f t="shared" si="15"/>
        <v>1.169565</v>
      </c>
    </row>
    <row r="500">
      <c r="A500" s="63" t="s">
        <v>68</v>
      </c>
      <c r="B500" s="63" t="s">
        <v>107</v>
      </c>
      <c r="C500" s="58">
        <v>1977.0</v>
      </c>
      <c r="D500" s="58">
        <v>0.1054</v>
      </c>
      <c r="E500" s="58">
        <v>13.35</v>
      </c>
      <c r="F500" s="53">
        <f t="shared" si="1"/>
        <v>1.569608895</v>
      </c>
      <c r="G500" s="58">
        <v>1.1</v>
      </c>
      <c r="H500" s="54">
        <f t="shared" si="2"/>
        <v>0.1304931366</v>
      </c>
      <c r="I500" s="58">
        <v>13.25</v>
      </c>
      <c r="J500" s="54">
        <f t="shared" si="3"/>
        <v>2.179330241</v>
      </c>
      <c r="K500" s="64">
        <v>1.225609756</v>
      </c>
      <c r="L500" s="54">
        <f t="shared" si="4"/>
        <v>0.1319278156</v>
      </c>
      <c r="M500" s="58">
        <v>3.310976</v>
      </c>
      <c r="N500" s="56">
        <f t="shared" si="5"/>
        <v>0.3831902138</v>
      </c>
      <c r="O500" s="6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>
        <f t="shared" si="6"/>
        <v>106.5</v>
      </c>
      <c r="AA500" s="35">
        <f t="shared" si="7"/>
        <v>23.9</v>
      </c>
      <c r="AB500" s="35">
        <f t="shared" si="8"/>
        <v>5.1</v>
      </c>
      <c r="AC500" s="35">
        <f t="shared" si="9"/>
        <v>47.1</v>
      </c>
      <c r="AD500" s="35">
        <f t="shared" si="10"/>
        <v>9.4</v>
      </c>
      <c r="AE500" s="35">
        <f t="shared" si="11"/>
        <v>1.1155</v>
      </c>
      <c r="AF500" s="35">
        <f t="shared" si="12"/>
        <v>1.56051</v>
      </c>
      <c r="AG500" s="35">
        <f t="shared" si="13"/>
        <v>1.021277</v>
      </c>
      <c r="AH500" s="35">
        <f t="shared" si="14"/>
        <v>1.098039</v>
      </c>
      <c r="AI500" s="35">
        <f t="shared" si="15"/>
        <v>1.125523</v>
      </c>
    </row>
    <row r="501">
      <c r="A501" s="63" t="s">
        <v>68</v>
      </c>
      <c r="B501" s="63" t="s">
        <v>107</v>
      </c>
      <c r="C501" s="58">
        <v>1978.0</v>
      </c>
      <c r="D501" s="58">
        <v>0.038386</v>
      </c>
      <c r="E501" s="58">
        <v>19.4</v>
      </c>
      <c r="F501" s="53">
        <f t="shared" si="1"/>
        <v>0.8153593292</v>
      </c>
      <c r="G501" s="58">
        <v>0.5</v>
      </c>
      <c r="H501" s="54">
        <f t="shared" si="2"/>
        <v>0.020651668</v>
      </c>
      <c r="I501" s="58">
        <v>15.0</v>
      </c>
      <c r="J501" s="54">
        <f t="shared" si="3"/>
        <v>0.8985260529</v>
      </c>
      <c r="K501" s="64">
        <v>1.220338983</v>
      </c>
      <c r="L501" s="54">
        <f t="shared" si="4"/>
        <v>0.0468439322</v>
      </c>
      <c r="M501" s="58">
        <v>1.932203</v>
      </c>
      <c r="N501" s="56">
        <f t="shared" si="5"/>
        <v>0.08144105232</v>
      </c>
      <c r="O501" s="6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>
        <f t="shared" si="6"/>
        <v>108.5</v>
      </c>
      <c r="AA501" s="35">
        <f t="shared" si="7"/>
        <v>25</v>
      </c>
      <c r="AB501" s="35">
        <f t="shared" si="8"/>
        <v>5.1</v>
      </c>
      <c r="AC501" s="35">
        <f t="shared" si="9"/>
        <v>47.1</v>
      </c>
      <c r="AD501" s="35">
        <f t="shared" si="10"/>
        <v>9.6</v>
      </c>
      <c r="AE501" s="35">
        <f t="shared" si="11"/>
        <v>1.0949</v>
      </c>
      <c r="AF501" s="35">
        <f t="shared" si="12"/>
        <v>1.56051</v>
      </c>
      <c r="AG501" s="35">
        <f t="shared" si="13"/>
        <v>1</v>
      </c>
      <c r="AH501" s="35">
        <f t="shared" si="14"/>
        <v>1.098039</v>
      </c>
      <c r="AI501" s="35">
        <f t="shared" si="15"/>
        <v>1.076</v>
      </c>
    </row>
    <row r="502">
      <c r="A502" s="63" t="s">
        <v>68</v>
      </c>
      <c r="B502" s="63" t="s">
        <v>107</v>
      </c>
      <c r="C502" s="58">
        <v>1979.0</v>
      </c>
      <c r="D502" s="58">
        <v>0.053351</v>
      </c>
      <c r="E502" s="58">
        <v>24.8</v>
      </c>
      <c r="F502" s="53">
        <f t="shared" si="1"/>
        <v>1.42511618</v>
      </c>
      <c r="G502" s="58">
        <v>1.8</v>
      </c>
      <c r="H502" s="54">
        <f t="shared" si="2"/>
        <v>0.1001262118</v>
      </c>
      <c r="I502" s="58">
        <v>17.6</v>
      </c>
      <c r="J502" s="54">
        <f t="shared" si="3"/>
        <v>1.526877109</v>
      </c>
      <c r="K502" s="64">
        <v>1.445121951</v>
      </c>
      <c r="L502" s="54">
        <f t="shared" si="4"/>
        <v>0.08133488935</v>
      </c>
      <c r="M502" s="58">
        <v>2.176829</v>
      </c>
      <c r="N502" s="56">
        <f t="shared" si="5"/>
        <v>0.1204373332</v>
      </c>
      <c r="O502" s="6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>
        <f t="shared" si="6"/>
        <v>110.3</v>
      </c>
      <c r="AA502" s="35">
        <f t="shared" si="7"/>
        <v>25.8</v>
      </c>
      <c r="AB502" s="35">
        <f t="shared" si="8"/>
        <v>5.4</v>
      </c>
      <c r="AC502" s="35">
        <f t="shared" si="9"/>
        <v>45.2</v>
      </c>
      <c r="AD502" s="35">
        <f t="shared" si="10"/>
        <v>9.1</v>
      </c>
      <c r="AE502" s="35">
        <f t="shared" si="11"/>
        <v>1.0771</v>
      </c>
      <c r="AF502" s="35">
        <f t="shared" si="12"/>
        <v>1.626106</v>
      </c>
      <c r="AG502" s="35">
        <f t="shared" si="13"/>
        <v>1.054945</v>
      </c>
      <c r="AH502" s="35">
        <f t="shared" si="14"/>
        <v>1.037037</v>
      </c>
      <c r="AI502" s="35">
        <f t="shared" si="15"/>
        <v>1.042636</v>
      </c>
    </row>
    <row r="503">
      <c r="A503" s="63" t="s">
        <v>68</v>
      </c>
      <c r="B503" s="63" t="s">
        <v>107</v>
      </c>
      <c r="C503" s="58">
        <v>1980.0</v>
      </c>
      <c r="D503" s="58">
        <v>0.053351</v>
      </c>
      <c r="E503" s="58">
        <v>25.8</v>
      </c>
      <c r="F503" s="53">
        <f t="shared" si="1"/>
        <v>1.496069809</v>
      </c>
      <c r="G503" s="58">
        <v>1.8</v>
      </c>
      <c r="H503" s="54">
        <f t="shared" si="2"/>
        <v>0.1001262118</v>
      </c>
      <c r="I503" s="58">
        <v>14.5</v>
      </c>
      <c r="J503" s="54">
        <f t="shared" si="3"/>
        <v>1.266343577</v>
      </c>
      <c r="K503" s="64">
        <v>1.463414634</v>
      </c>
      <c r="L503" s="54">
        <f t="shared" si="4"/>
        <v>0.07973582813</v>
      </c>
      <c r="M503" s="58">
        <v>1.957317</v>
      </c>
      <c r="N503" s="56">
        <f t="shared" si="5"/>
        <v>0.1103356817</v>
      </c>
      <c r="O503" s="6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>
        <f t="shared" si="6"/>
        <v>109.3</v>
      </c>
      <c r="AA503" s="35">
        <f t="shared" si="7"/>
        <v>25.8</v>
      </c>
      <c r="AB503" s="35">
        <f t="shared" si="8"/>
        <v>5.3</v>
      </c>
      <c r="AC503" s="35">
        <f t="shared" si="9"/>
        <v>44.9</v>
      </c>
      <c r="AD503" s="35">
        <f t="shared" si="10"/>
        <v>9.4</v>
      </c>
      <c r="AE503" s="35">
        <f t="shared" si="11"/>
        <v>1.0869</v>
      </c>
      <c r="AF503" s="35">
        <f t="shared" si="12"/>
        <v>1.636971</v>
      </c>
      <c r="AG503" s="35">
        <f t="shared" si="13"/>
        <v>1.021277</v>
      </c>
      <c r="AH503" s="35">
        <f t="shared" si="14"/>
        <v>1.056604</v>
      </c>
      <c r="AI503" s="35">
        <f t="shared" si="15"/>
        <v>1.042636</v>
      </c>
    </row>
    <row r="504">
      <c r="A504" s="63" t="s">
        <v>68</v>
      </c>
      <c r="B504" s="63" t="s">
        <v>107</v>
      </c>
      <c r="C504" s="58">
        <v>1981.0</v>
      </c>
      <c r="D504" s="58">
        <v>0.052049</v>
      </c>
      <c r="E504" s="58">
        <v>27.8</v>
      </c>
      <c r="F504" s="53">
        <f t="shared" si="1"/>
        <v>1.590211458</v>
      </c>
      <c r="G504" s="58">
        <v>1.8</v>
      </c>
      <c r="H504" s="54">
        <f t="shared" si="2"/>
        <v>0.09883186956</v>
      </c>
      <c r="I504" s="58">
        <v>14.8</v>
      </c>
      <c r="J504" s="54">
        <f t="shared" si="3"/>
        <v>1.301583826</v>
      </c>
      <c r="K504" s="64">
        <v>1.55625</v>
      </c>
      <c r="L504" s="54">
        <f t="shared" si="4"/>
        <v>0.086401367</v>
      </c>
      <c r="M504" s="58">
        <v>2.8125</v>
      </c>
      <c r="N504" s="56">
        <f t="shared" si="5"/>
        <v>0.1546739482</v>
      </c>
      <c r="O504" s="6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>
        <f t="shared" si="6"/>
        <v>108.1</v>
      </c>
      <c r="AA504" s="35">
        <f t="shared" si="7"/>
        <v>25.5</v>
      </c>
      <c r="AB504" s="35">
        <f t="shared" si="8"/>
        <v>5.3</v>
      </c>
      <c r="AC504" s="35">
        <f t="shared" si="9"/>
        <v>43.5</v>
      </c>
      <c r="AD504" s="35">
        <f t="shared" si="10"/>
        <v>9</v>
      </c>
      <c r="AE504" s="35">
        <f t="shared" si="11"/>
        <v>1.099</v>
      </c>
      <c r="AF504" s="35">
        <f t="shared" si="12"/>
        <v>1.689655</v>
      </c>
      <c r="AG504" s="35">
        <f t="shared" si="13"/>
        <v>1.066667</v>
      </c>
      <c r="AH504" s="35">
        <f t="shared" si="14"/>
        <v>1.056604</v>
      </c>
      <c r="AI504" s="35">
        <f t="shared" si="15"/>
        <v>1.054902</v>
      </c>
    </row>
    <row r="505">
      <c r="A505" s="63" t="s">
        <v>68</v>
      </c>
      <c r="B505" s="63" t="s">
        <v>107</v>
      </c>
      <c r="C505" s="58">
        <v>1982.0</v>
      </c>
      <c r="D505" s="58">
        <v>0.0527</v>
      </c>
      <c r="E505" s="58">
        <v>31.1</v>
      </c>
      <c r="F505" s="53">
        <f t="shared" si="1"/>
        <v>1.792869283</v>
      </c>
      <c r="G505" s="58">
        <v>1.8</v>
      </c>
      <c r="H505" s="54">
        <f t="shared" si="2"/>
        <v>0.1012592556</v>
      </c>
      <c r="I505" s="58">
        <v>14.7</v>
      </c>
      <c r="J505" s="54">
        <f t="shared" si="3"/>
        <v>1.308958832</v>
      </c>
      <c r="K505" s="64">
        <v>1.407407407</v>
      </c>
      <c r="L505" s="54">
        <f t="shared" si="4"/>
        <v>0.08376890632</v>
      </c>
      <c r="M505" s="58">
        <v>2.314815</v>
      </c>
      <c r="N505" s="56">
        <f t="shared" si="5"/>
        <v>0.1265089219</v>
      </c>
      <c r="O505" s="6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>
        <f t="shared" si="6"/>
        <v>108.6</v>
      </c>
      <c r="AA505" s="35">
        <f t="shared" si="7"/>
        <v>25.2</v>
      </c>
      <c r="AB505" s="35">
        <f t="shared" si="8"/>
        <v>5.4</v>
      </c>
      <c r="AC505" s="35">
        <f t="shared" si="9"/>
        <v>43.5</v>
      </c>
      <c r="AD505" s="35">
        <f t="shared" si="10"/>
        <v>8.5</v>
      </c>
      <c r="AE505" s="35">
        <f t="shared" si="11"/>
        <v>1.0939</v>
      </c>
      <c r="AF505" s="35">
        <f t="shared" si="12"/>
        <v>1.689655</v>
      </c>
      <c r="AG505" s="35">
        <f t="shared" si="13"/>
        <v>1.129412</v>
      </c>
      <c r="AH505" s="35">
        <f t="shared" si="14"/>
        <v>1.037037</v>
      </c>
      <c r="AI505" s="35">
        <f t="shared" si="15"/>
        <v>1.06746</v>
      </c>
    </row>
    <row r="506">
      <c r="A506" s="63" t="s">
        <v>68</v>
      </c>
      <c r="B506" s="63" t="s">
        <v>107</v>
      </c>
      <c r="C506" s="58">
        <v>1983.0</v>
      </c>
      <c r="D506" s="58">
        <v>0.050748</v>
      </c>
      <c r="E506" s="58">
        <v>24.5</v>
      </c>
      <c r="F506" s="53">
        <f t="shared" si="1"/>
        <v>1.361317637</v>
      </c>
      <c r="G506" s="58">
        <v>1.3</v>
      </c>
      <c r="H506" s="54">
        <f t="shared" si="2"/>
        <v>0.06851959436</v>
      </c>
      <c r="I506" s="58">
        <v>15.3</v>
      </c>
      <c r="J506" s="54">
        <f t="shared" si="3"/>
        <v>1.282441569</v>
      </c>
      <c r="K506" s="64">
        <v>1.711538462</v>
      </c>
      <c r="L506" s="54">
        <f t="shared" si="4"/>
        <v>0.09368864274</v>
      </c>
      <c r="M506" s="58">
        <v>3.019231</v>
      </c>
      <c r="N506" s="56">
        <f t="shared" si="5"/>
        <v>0.1532199348</v>
      </c>
      <c r="O506" s="6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>
        <f t="shared" si="6"/>
        <v>108.5</v>
      </c>
      <c r="AA506" s="35">
        <f t="shared" si="7"/>
        <v>25.9</v>
      </c>
      <c r="AB506" s="35">
        <f t="shared" si="8"/>
        <v>5.6</v>
      </c>
      <c r="AC506" s="35">
        <f t="shared" si="9"/>
        <v>44.5</v>
      </c>
      <c r="AD506" s="35">
        <f t="shared" si="10"/>
        <v>8.9</v>
      </c>
      <c r="AE506" s="35">
        <f t="shared" si="11"/>
        <v>1.0949</v>
      </c>
      <c r="AF506" s="35">
        <f t="shared" si="12"/>
        <v>1.651685</v>
      </c>
      <c r="AG506" s="35">
        <f t="shared" si="13"/>
        <v>1.078652</v>
      </c>
      <c r="AH506" s="35">
        <f t="shared" si="14"/>
        <v>1</v>
      </c>
      <c r="AI506" s="35">
        <f t="shared" si="15"/>
        <v>1.03861</v>
      </c>
    </row>
    <row r="507">
      <c r="A507" s="63" t="s">
        <v>68</v>
      </c>
      <c r="B507" s="63" t="s">
        <v>107</v>
      </c>
      <c r="C507" s="58">
        <v>1984.0</v>
      </c>
      <c r="D507" s="58">
        <v>0.046194</v>
      </c>
      <c r="E507" s="58">
        <v>22.7</v>
      </c>
      <c r="F507" s="53">
        <f t="shared" si="1"/>
        <v>1.1314435</v>
      </c>
      <c r="G507" s="58">
        <v>1.4</v>
      </c>
      <c r="H507" s="54">
        <f t="shared" si="2"/>
        <v>0.06639949581</v>
      </c>
      <c r="I507" s="58">
        <v>13.4</v>
      </c>
      <c r="J507" s="54">
        <f t="shared" si="3"/>
        <v>1.058057254</v>
      </c>
      <c r="K507" s="64">
        <v>1.5</v>
      </c>
      <c r="L507" s="54">
        <f t="shared" si="4"/>
        <v>0.07825808689</v>
      </c>
      <c r="M507" s="58">
        <v>2.323944</v>
      </c>
      <c r="N507" s="56">
        <f t="shared" si="5"/>
        <v>0.113428837</v>
      </c>
      <c r="O507" s="6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>
        <f t="shared" si="6"/>
        <v>110.1</v>
      </c>
      <c r="AA507" s="35">
        <f t="shared" si="7"/>
        <v>26.2</v>
      </c>
      <c r="AB507" s="35">
        <f t="shared" si="8"/>
        <v>5.3</v>
      </c>
      <c r="AC507" s="35">
        <f t="shared" si="9"/>
        <v>43</v>
      </c>
      <c r="AD507" s="35">
        <f t="shared" si="10"/>
        <v>8.5</v>
      </c>
      <c r="AE507" s="35">
        <f t="shared" si="11"/>
        <v>1.079</v>
      </c>
      <c r="AF507" s="35">
        <f t="shared" si="12"/>
        <v>1.709302</v>
      </c>
      <c r="AG507" s="35">
        <f t="shared" si="13"/>
        <v>1.129412</v>
      </c>
      <c r="AH507" s="35">
        <f t="shared" si="14"/>
        <v>1.056604</v>
      </c>
      <c r="AI507" s="35">
        <f t="shared" si="15"/>
        <v>1.026718</v>
      </c>
    </row>
    <row r="508">
      <c r="A508" s="63" t="s">
        <v>68</v>
      </c>
      <c r="B508" s="63" t="s">
        <v>107</v>
      </c>
      <c r="C508" s="58">
        <v>1985.0</v>
      </c>
      <c r="D508" s="58">
        <v>0.051399</v>
      </c>
      <c r="E508" s="58">
        <v>24.6</v>
      </c>
      <c r="F508" s="53">
        <f t="shared" si="1"/>
        <v>1.355706192</v>
      </c>
      <c r="G508" s="58">
        <v>1.6</v>
      </c>
      <c r="H508" s="54">
        <f t="shared" si="2"/>
        <v>0.08411458686</v>
      </c>
      <c r="I508" s="58">
        <v>13.1</v>
      </c>
      <c r="J508" s="54">
        <f t="shared" si="3"/>
        <v>1.137690163</v>
      </c>
      <c r="K508" s="64">
        <v>1.272151899</v>
      </c>
      <c r="L508" s="54">
        <f t="shared" si="4"/>
        <v>0.07384924131</v>
      </c>
      <c r="M508" s="58">
        <v>2.335443</v>
      </c>
      <c r="N508" s="56">
        <f t="shared" si="5"/>
        <v>0.1268341469</v>
      </c>
      <c r="O508" s="6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>
        <f t="shared" si="6"/>
        <v>110.8</v>
      </c>
      <c r="AA508" s="35">
        <f t="shared" si="7"/>
        <v>26.3</v>
      </c>
      <c r="AB508" s="35">
        <f t="shared" si="8"/>
        <v>5.3</v>
      </c>
      <c r="AC508" s="35">
        <f t="shared" si="9"/>
        <v>43.5</v>
      </c>
      <c r="AD508" s="35">
        <f t="shared" si="10"/>
        <v>8.5</v>
      </c>
      <c r="AE508" s="35">
        <f t="shared" si="11"/>
        <v>1.0722</v>
      </c>
      <c r="AF508" s="35">
        <f t="shared" si="12"/>
        <v>1.689655</v>
      </c>
      <c r="AG508" s="35">
        <f t="shared" si="13"/>
        <v>1.129412</v>
      </c>
      <c r="AH508" s="35">
        <f t="shared" si="14"/>
        <v>1.056604</v>
      </c>
      <c r="AI508" s="35">
        <f t="shared" si="15"/>
        <v>1.022814</v>
      </c>
    </row>
    <row r="509">
      <c r="A509" s="63" t="s">
        <v>68</v>
      </c>
      <c r="B509" s="63" t="s">
        <v>107</v>
      </c>
      <c r="C509" s="58">
        <v>1986.0</v>
      </c>
      <c r="D509" s="58">
        <v>0.048146</v>
      </c>
      <c r="E509" s="58">
        <v>23.8</v>
      </c>
      <c r="F509" s="53">
        <f t="shared" si="1"/>
        <v>1.235253034</v>
      </c>
      <c r="G509" s="58">
        <v>1.2</v>
      </c>
      <c r="H509" s="54">
        <f t="shared" si="2"/>
        <v>0.05977508855</v>
      </c>
      <c r="I509" s="58">
        <v>11.8</v>
      </c>
      <c r="J509" s="54">
        <f t="shared" si="3"/>
        <v>0.9577300538</v>
      </c>
      <c r="K509" s="64">
        <v>1.358108108</v>
      </c>
      <c r="L509" s="54">
        <f t="shared" si="4"/>
        <v>0.07133178275</v>
      </c>
      <c r="M509" s="58">
        <v>1.439189</v>
      </c>
      <c r="N509" s="56">
        <f t="shared" si="5"/>
        <v>0.07321335232</v>
      </c>
      <c r="O509" s="6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>
        <f t="shared" si="6"/>
        <v>110.2</v>
      </c>
      <c r="AA509" s="35">
        <f t="shared" si="7"/>
        <v>26</v>
      </c>
      <c r="AB509" s="35">
        <f t="shared" si="8"/>
        <v>5.3</v>
      </c>
      <c r="AC509" s="35">
        <f t="shared" si="9"/>
        <v>43.6</v>
      </c>
      <c r="AD509" s="35">
        <f t="shared" si="10"/>
        <v>8.8</v>
      </c>
      <c r="AE509" s="35">
        <f t="shared" si="11"/>
        <v>1.078</v>
      </c>
      <c r="AF509" s="35">
        <f t="shared" si="12"/>
        <v>1.68578</v>
      </c>
      <c r="AG509" s="35">
        <f t="shared" si="13"/>
        <v>1.090909</v>
      </c>
      <c r="AH509" s="35">
        <f t="shared" si="14"/>
        <v>1.056604</v>
      </c>
      <c r="AI509" s="35">
        <f t="shared" si="15"/>
        <v>1.034615</v>
      </c>
    </row>
    <row r="510">
      <c r="A510" s="63" t="s">
        <v>68</v>
      </c>
      <c r="B510" s="63" t="s">
        <v>107</v>
      </c>
      <c r="C510" s="58">
        <v>1987.0</v>
      </c>
      <c r="D510" s="58">
        <v>0.047495</v>
      </c>
      <c r="E510" s="58">
        <v>24.1</v>
      </c>
      <c r="F510" s="53">
        <f t="shared" si="1"/>
        <v>1.23734449</v>
      </c>
      <c r="G510" s="58">
        <v>1.6</v>
      </c>
      <c r="H510" s="54">
        <f t="shared" si="2"/>
        <v>0.07862246308</v>
      </c>
      <c r="I510" s="58">
        <v>11.3</v>
      </c>
      <c r="J510" s="54">
        <f t="shared" si="3"/>
        <v>0.8965223405</v>
      </c>
      <c r="K510" s="64">
        <v>1.212328767</v>
      </c>
      <c r="L510" s="54">
        <f t="shared" si="4"/>
        <v>0.06427484784</v>
      </c>
      <c r="M510" s="58">
        <v>1.890411</v>
      </c>
      <c r="N510" s="56">
        <f t="shared" si="5"/>
        <v>0.0914175426</v>
      </c>
      <c r="O510" s="6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>
        <f t="shared" si="6"/>
        <v>109.9</v>
      </c>
      <c r="AA510" s="35">
        <f t="shared" si="7"/>
        <v>26</v>
      </c>
      <c r="AB510" s="35">
        <f t="shared" si="8"/>
        <v>5.5</v>
      </c>
      <c r="AC510" s="35">
        <f t="shared" si="9"/>
        <v>44</v>
      </c>
      <c r="AD510" s="35">
        <f t="shared" si="10"/>
        <v>8.6</v>
      </c>
      <c r="AE510" s="35">
        <f t="shared" si="11"/>
        <v>1.081</v>
      </c>
      <c r="AF510" s="35">
        <f t="shared" si="12"/>
        <v>1.670455</v>
      </c>
      <c r="AG510" s="35">
        <f t="shared" si="13"/>
        <v>1.116279</v>
      </c>
      <c r="AH510" s="35">
        <f t="shared" si="14"/>
        <v>1.018182</v>
      </c>
      <c r="AI510" s="35">
        <f t="shared" si="15"/>
        <v>1.034615</v>
      </c>
    </row>
    <row r="511">
      <c r="A511" s="63" t="s">
        <v>68</v>
      </c>
      <c r="B511" s="63" t="s">
        <v>107</v>
      </c>
      <c r="C511" s="58">
        <v>1988.0</v>
      </c>
      <c r="D511" s="58">
        <v>0.051399</v>
      </c>
      <c r="E511" s="58">
        <v>20.3</v>
      </c>
      <c r="F511" s="53">
        <f t="shared" si="1"/>
        <v>1.145652871</v>
      </c>
      <c r="G511" s="58">
        <v>1.4</v>
      </c>
      <c r="H511" s="54">
        <f t="shared" si="2"/>
        <v>0.07502662687</v>
      </c>
      <c r="I511" s="58">
        <v>11.2</v>
      </c>
      <c r="J511" s="54">
        <f t="shared" si="3"/>
        <v>0.9749227449</v>
      </c>
      <c r="K511" s="64">
        <v>1.120253165</v>
      </c>
      <c r="L511" s="54">
        <f t="shared" si="4"/>
        <v>0.06503142147</v>
      </c>
      <c r="M511" s="58">
        <v>1.367089</v>
      </c>
      <c r="N511" s="56">
        <f t="shared" si="5"/>
        <v>0.07286948667</v>
      </c>
      <c r="O511" s="6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>
        <f t="shared" si="6"/>
        <v>108.2</v>
      </c>
      <c r="AA511" s="35">
        <f t="shared" si="7"/>
        <v>25.8</v>
      </c>
      <c r="AB511" s="35">
        <f t="shared" si="8"/>
        <v>5.4</v>
      </c>
      <c r="AC511" s="35">
        <f t="shared" si="9"/>
        <v>43.4</v>
      </c>
      <c r="AD511" s="35">
        <f t="shared" si="10"/>
        <v>8.5</v>
      </c>
      <c r="AE511" s="35">
        <f t="shared" si="11"/>
        <v>1.098</v>
      </c>
      <c r="AF511" s="35">
        <f t="shared" si="12"/>
        <v>1.693548</v>
      </c>
      <c r="AG511" s="35">
        <f t="shared" si="13"/>
        <v>1.129412</v>
      </c>
      <c r="AH511" s="35">
        <f t="shared" si="14"/>
        <v>1.037037</v>
      </c>
      <c r="AI511" s="35">
        <f t="shared" si="15"/>
        <v>1.042636</v>
      </c>
    </row>
    <row r="512">
      <c r="A512" s="63" t="s">
        <v>68</v>
      </c>
      <c r="B512" s="63" t="s">
        <v>107</v>
      </c>
      <c r="C512" s="58">
        <v>1989.0</v>
      </c>
      <c r="D512" s="58">
        <v>0.0527</v>
      </c>
      <c r="E512" s="58">
        <v>20.2</v>
      </c>
      <c r="F512" s="53">
        <f t="shared" si="1"/>
        <v>1.158113066</v>
      </c>
      <c r="G512" s="58">
        <v>1.4</v>
      </c>
      <c r="H512" s="54">
        <f t="shared" si="2"/>
        <v>0.07752662218</v>
      </c>
      <c r="I512" s="58">
        <v>11.8</v>
      </c>
      <c r="J512" s="54">
        <f t="shared" si="3"/>
        <v>1.041155324</v>
      </c>
      <c r="K512" s="64">
        <v>1.462962963</v>
      </c>
      <c r="L512" s="54">
        <f t="shared" si="4"/>
        <v>0.0813343059</v>
      </c>
      <c r="M512" s="58">
        <v>1.851852</v>
      </c>
      <c r="N512" s="56">
        <f t="shared" si="5"/>
        <v>0.103116732</v>
      </c>
      <c r="O512" s="6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>
        <f t="shared" si="6"/>
        <v>109.2</v>
      </c>
      <c r="AA512" s="35">
        <f t="shared" si="7"/>
        <v>25.6</v>
      </c>
      <c r="AB512" s="35">
        <f t="shared" si="8"/>
        <v>5.3</v>
      </c>
      <c r="AC512" s="35">
        <f t="shared" si="9"/>
        <v>43.9</v>
      </c>
      <c r="AD512" s="35">
        <f t="shared" si="10"/>
        <v>9.1</v>
      </c>
      <c r="AE512" s="35">
        <f t="shared" si="11"/>
        <v>1.0879</v>
      </c>
      <c r="AF512" s="35">
        <f t="shared" si="12"/>
        <v>1.67426</v>
      </c>
      <c r="AG512" s="35">
        <f t="shared" si="13"/>
        <v>1.054945</v>
      </c>
      <c r="AH512" s="35">
        <f t="shared" si="14"/>
        <v>1.056604</v>
      </c>
      <c r="AI512" s="35">
        <f t="shared" si="15"/>
        <v>1.050781</v>
      </c>
    </row>
    <row r="513">
      <c r="A513" s="63" t="s">
        <v>68</v>
      </c>
      <c r="B513" s="63" t="s">
        <v>107</v>
      </c>
      <c r="C513" s="58">
        <v>1990.0</v>
      </c>
      <c r="D513" s="58">
        <v>0.0527</v>
      </c>
      <c r="E513" s="58">
        <v>18.9</v>
      </c>
      <c r="F513" s="53">
        <f t="shared" si="1"/>
        <v>1.105892109</v>
      </c>
      <c r="G513" s="58">
        <v>1.6</v>
      </c>
      <c r="H513" s="54">
        <f t="shared" si="2"/>
        <v>0.09109266672</v>
      </c>
      <c r="I513" s="58">
        <v>10.0</v>
      </c>
      <c r="J513" s="54">
        <f t="shared" si="3"/>
        <v>0.898712072</v>
      </c>
      <c r="K513" s="64">
        <v>0.87037037</v>
      </c>
      <c r="L513" s="54">
        <f t="shared" si="4"/>
        <v>0.05180445521</v>
      </c>
      <c r="M513" s="58">
        <v>1.555556</v>
      </c>
      <c r="N513" s="56">
        <f t="shared" si="5"/>
        <v>0.09001482285</v>
      </c>
      <c r="O513" s="6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>
        <f t="shared" si="6"/>
        <v>107</v>
      </c>
      <c r="AA513" s="35">
        <f t="shared" si="7"/>
        <v>24.9</v>
      </c>
      <c r="AB513" s="35">
        <f t="shared" si="8"/>
        <v>5.1</v>
      </c>
      <c r="AC513" s="35">
        <f t="shared" si="9"/>
        <v>43.1</v>
      </c>
      <c r="AD513" s="35">
        <f t="shared" si="10"/>
        <v>8.5</v>
      </c>
      <c r="AE513" s="35">
        <f t="shared" si="11"/>
        <v>1.1103</v>
      </c>
      <c r="AF513" s="35">
        <f t="shared" si="12"/>
        <v>1.705336</v>
      </c>
      <c r="AG513" s="35">
        <f t="shared" si="13"/>
        <v>1.129412</v>
      </c>
      <c r="AH513" s="35">
        <f t="shared" si="14"/>
        <v>1.098039</v>
      </c>
      <c r="AI513" s="35">
        <f t="shared" si="15"/>
        <v>1.080321</v>
      </c>
    </row>
    <row r="514">
      <c r="A514" s="63" t="s">
        <v>68</v>
      </c>
      <c r="B514" s="63" t="s">
        <v>107</v>
      </c>
      <c r="C514" s="58">
        <v>1991.0</v>
      </c>
      <c r="D514" s="58">
        <v>0.053351</v>
      </c>
      <c r="E514" s="58">
        <v>10.6</v>
      </c>
      <c r="F514" s="53">
        <f t="shared" si="1"/>
        <v>0.6320258226</v>
      </c>
      <c r="G514" s="58">
        <v>0.8</v>
      </c>
      <c r="H514" s="54">
        <f t="shared" si="2"/>
        <v>0.04648233618</v>
      </c>
      <c r="I514" s="58">
        <v>8.1</v>
      </c>
      <c r="J514" s="54">
        <f t="shared" si="3"/>
        <v>0.7335456265</v>
      </c>
      <c r="K514" s="64">
        <v>0.548780488</v>
      </c>
      <c r="L514" s="54">
        <f t="shared" si="4"/>
        <v>0.03268240296</v>
      </c>
      <c r="M514" s="58">
        <v>1.353659</v>
      </c>
      <c r="N514" s="56">
        <f t="shared" si="5"/>
        <v>0.07630694906</v>
      </c>
      <c r="O514" s="6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>
        <f t="shared" si="6"/>
        <v>106.3</v>
      </c>
      <c r="AA514" s="35">
        <f t="shared" si="7"/>
        <v>24.7</v>
      </c>
      <c r="AB514" s="35">
        <f t="shared" si="8"/>
        <v>5.3</v>
      </c>
      <c r="AC514" s="35">
        <f t="shared" si="9"/>
        <v>43.3</v>
      </c>
      <c r="AD514" s="35">
        <f t="shared" si="10"/>
        <v>8.6</v>
      </c>
      <c r="AE514" s="35">
        <f t="shared" si="11"/>
        <v>1.1176</v>
      </c>
      <c r="AF514" s="35">
        <f t="shared" si="12"/>
        <v>1.69746</v>
      </c>
      <c r="AG514" s="35">
        <f t="shared" si="13"/>
        <v>1.116279</v>
      </c>
      <c r="AH514" s="35">
        <f t="shared" si="14"/>
        <v>1.056604</v>
      </c>
      <c r="AI514" s="35">
        <f t="shared" si="15"/>
        <v>1.089069</v>
      </c>
    </row>
    <row r="515">
      <c r="A515" s="63" t="s">
        <v>68</v>
      </c>
      <c r="B515" s="63" t="s">
        <v>107</v>
      </c>
      <c r="C515" s="58">
        <v>1992.0</v>
      </c>
      <c r="D515" s="58">
        <v>0.053351</v>
      </c>
      <c r="E515" s="58">
        <v>15.6</v>
      </c>
      <c r="F515" s="53">
        <f t="shared" si="1"/>
        <v>0.9389733319</v>
      </c>
      <c r="G515" s="58">
        <v>1.1</v>
      </c>
      <c r="H515" s="54">
        <f t="shared" si="2"/>
        <v>0.06443493167</v>
      </c>
      <c r="I515" s="58">
        <v>9.1</v>
      </c>
      <c r="J515" s="54">
        <f t="shared" si="3"/>
        <v>0.8165632077</v>
      </c>
      <c r="K515" s="64">
        <v>1.353658537</v>
      </c>
      <c r="L515" s="54">
        <f t="shared" si="4"/>
        <v>0.08061659397</v>
      </c>
      <c r="M515" s="58">
        <v>1.170732</v>
      </c>
      <c r="N515" s="56">
        <f t="shared" si="5"/>
        <v>0.06359536561</v>
      </c>
      <c r="O515" s="6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>
        <f t="shared" si="6"/>
        <v>105.3</v>
      </c>
      <c r="AA515" s="35">
        <f t="shared" si="7"/>
        <v>24.5</v>
      </c>
      <c r="AB515" s="35">
        <f t="shared" si="8"/>
        <v>5.5</v>
      </c>
      <c r="AC515" s="35">
        <f t="shared" si="9"/>
        <v>43.7</v>
      </c>
      <c r="AD515" s="35">
        <f t="shared" si="10"/>
        <v>8.6</v>
      </c>
      <c r="AE515" s="35">
        <f t="shared" si="11"/>
        <v>1.1282</v>
      </c>
      <c r="AF515" s="35">
        <f t="shared" si="12"/>
        <v>1.681922</v>
      </c>
      <c r="AG515" s="35">
        <f t="shared" si="13"/>
        <v>1.116279</v>
      </c>
      <c r="AH515" s="35">
        <f t="shared" si="14"/>
        <v>1.018182</v>
      </c>
      <c r="AI515" s="35">
        <f t="shared" si="15"/>
        <v>1.097959</v>
      </c>
    </row>
    <row r="516">
      <c r="A516" s="63" t="s">
        <v>68</v>
      </c>
      <c r="B516" s="63" t="s">
        <v>107</v>
      </c>
      <c r="C516" s="58">
        <v>1993.0</v>
      </c>
      <c r="D516" s="58">
        <v>0.007157</v>
      </c>
      <c r="E516" s="58">
        <v>4.5</v>
      </c>
      <c r="F516" s="53">
        <f t="shared" si="1"/>
        <v>0.0363353733</v>
      </c>
      <c r="G516" s="58">
        <v>0.6</v>
      </c>
      <c r="H516" s="54">
        <f t="shared" si="2"/>
        <v>0.0046766801</v>
      </c>
      <c r="I516" s="58">
        <v>4.2</v>
      </c>
      <c r="J516" s="54">
        <f t="shared" si="3"/>
        <v>0.05126137696</v>
      </c>
      <c r="K516" s="64">
        <v>0.136363636</v>
      </c>
      <c r="L516" s="54">
        <f t="shared" si="4"/>
        <v>0.001089437561</v>
      </c>
      <c r="M516" s="58">
        <v>1.090909</v>
      </c>
      <c r="N516" s="56">
        <f t="shared" si="5"/>
        <v>0.008408222475</v>
      </c>
      <c r="O516" s="6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>
        <f t="shared" si="6"/>
        <v>105.3</v>
      </c>
      <c r="AA516" s="35">
        <f t="shared" si="7"/>
        <v>24.7</v>
      </c>
      <c r="AB516" s="35">
        <f t="shared" si="8"/>
        <v>5.2</v>
      </c>
      <c r="AC516" s="35">
        <f t="shared" si="9"/>
        <v>43.1</v>
      </c>
      <c r="AD516" s="35">
        <f t="shared" si="10"/>
        <v>8.6</v>
      </c>
      <c r="AE516" s="35">
        <f t="shared" si="11"/>
        <v>1.1282</v>
      </c>
      <c r="AF516" s="35">
        <f t="shared" si="12"/>
        <v>1.705336</v>
      </c>
      <c r="AG516" s="35">
        <f t="shared" si="13"/>
        <v>1.116279</v>
      </c>
      <c r="AH516" s="35">
        <f t="shared" si="14"/>
        <v>1.076923</v>
      </c>
      <c r="AI516" s="35">
        <f t="shared" si="15"/>
        <v>1.089069</v>
      </c>
    </row>
    <row r="517">
      <c r="A517" s="63" t="s">
        <v>68</v>
      </c>
      <c r="B517" s="63" t="s">
        <v>107</v>
      </c>
      <c r="C517" s="58">
        <v>1994.0</v>
      </c>
      <c r="D517" s="58">
        <v>0.035784</v>
      </c>
      <c r="E517" s="58">
        <v>5.3</v>
      </c>
      <c r="F517" s="53">
        <f t="shared" si="1"/>
        <v>0.2219724461</v>
      </c>
      <c r="G517" s="58">
        <v>0.6</v>
      </c>
      <c r="H517" s="54">
        <f t="shared" si="2"/>
        <v>0.02367023571</v>
      </c>
      <c r="I517" s="58">
        <v>4.1</v>
      </c>
      <c r="J517" s="54">
        <f t="shared" si="3"/>
        <v>0.2507792173</v>
      </c>
      <c r="K517" s="64">
        <v>0.3</v>
      </c>
      <c r="L517" s="54">
        <f t="shared" si="4"/>
        <v>0.01157954495</v>
      </c>
      <c r="M517" s="58">
        <v>0.463636</v>
      </c>
      <c r="N517" s="56">
        <f t="shared" si="5"/>
        <v>0.01786696093</v>
      </c>
      <c r="O517" s="6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>
        <f t="shared" si="6"/>
        <v>101.5</v>
      </c>
      <c r="AA517" s="35">
        <f t="shared" si="7"/>
        <v>24.4</v>
      </c>
      <c r="AB517" s="35">
        <f t="shared" si="8"/>
        <v>5.2</v>
      </c>
      <c r="AC517" s="35">
        <f t="shared" si="9"/>
        <v>43</v>
      </c>
      <c r="AD517" s="35">
        <f t="shared" si="10"/>
        <v>8.9</v>
      </c>
      <c r="AE517" s="35">
        <f t="shared" si="11"/>
        <v>1.1704</v>
      </c>
      <c r="AF517" s="35">
        <f t="shared" si="12"/>
        <v>1.709302</v>
      </c>
      <c r="AG517" s="35">
        <f t="shared" si="13"/>
        <v>1.078652</v>
      </c>
      <c r="AH517" s="35">
        <f t="shared" si="14"/>
        <v>1.076923</v>
      </c>
      <c r="AI517" s="35">
        <f t="shared" si="15"/>
        <v>1.102459</v>
      </c>
    </row>
    <row r="518">
      <c r="A518" s="63" t="s">
        <v>68</v>
      </c>
      <c r="B518" s="63" t="s">
        <v>107</v>
      </c>
      <c r="C518" s="58">
        <v>1995.0</v>
      </c>
      <c r="D518" s="58">
        <v>0.011061</v>
      </c>
      <c r="E518" s="58">
        <v>2.9</v>
      </c>
      <c r="F518" s="53">
        <f t="shared" si="1"/>
        <v>0.03758129604</v>
      </c>
      <c r="G518" s="58">
        <v>0.4</v>
      </c>
      <c r="H518" s="54">
        <f t="shared" si="2"/>
        <v>0.005086170781</v>
      </c>
      <c r="I518" s="58">
        <v>2.7</v>
      </c>
      <c r="J518" s="54">
        <f t="shared" si="3"/>
        <v>0.05276575831</v>
      </c>
      <c r="K518" s="64">
        <v>0.176470588</v>
      </c>
      <c r="L518" s="54">
        <f t="shared" si="4"/>
        <v>0.002257667864</v>
      </c>
      <c r="M518" s="58">
        <v>0.264706</v>
      </c>
      <c r="N518" s="56">
        <f t="shared" si="5"/>
        <v>0.003153136923</v>
      </c>
      <c r="O518" s="6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>
        <f t="shared" si="6"/>
        <v>101.4</v>
      </c>
      <c r="AA518" s="35">
        <f t="shared" si="7"/>
        <v>23.4</v>
      </c>
      <c r="AB518" s="35">
        <f t="shared" si="8"/>
        <v>5.2</v>
      </c>
      <c r="AC518" s="35">
        <f t="shared" si="9"/>
        <v>41.6</v>
      </c>
      <c r="AD518" s="35">
        <f t="shared" si="10"/>
        <v>8.3</v>
      </c>
      <c r="AE518" s="35">
        <f t="shared" si="11"/>
        <v>1.1716</v>
      </c>
      <c r="AF518" s="35">
        <f t="shared" si="12"/>
        <v>1.766827</v>
      </c>
      <c r="AG518" s="35">
        <f t="shared" si="13"/>
        <v>1.156627</v>
      </c>
      <c r="AH518" s="35">
        <f t="shared" si="14"/>
        <v>1.076923</v>
      </c>
      <c r="AI518" s="35">
        <f t="shared" si="15"/>
        <v>1.149573</v>
      </c>
    </row>
    <row r="519">
      <c r="A519" s="63" t="s">
        <v>110</v>
      </c>
      <c r="B519" s="63" t="s">
        <v>107</v>
      </c>
      <c r="C519" s="58">
        <v>2016.0</v>
      </c>
      <c r="D519" s="58">
        <v>0.111576</v>
      </c>
      <c r="E519" s="58">
        <v>10.0</v>
      </c>
      <c r="F519" s="53">
        <f t="shared" si="1"/>
        <v>1.290711168</v>
      </c>
      <c r="G519" s="58">
        <v>2.4</v>
      </c>
      <c r="H519" s="54">
        <f t="shared" si="2"/>
        <v>0.3230200179</v>
      </c>
      <c r="I519" s="58">
        <v>7.0</v>
      </c>
      <c r="J519" s="54">
        <f t="shared" si="3"/>
        <v>1.310635741</v>
      </c>
      <c r="K519" s="64">
        <v>1.48125</v>
      </c>
      <c r="L519" s="54">
        <f t="shared" si="4"/>
        <v>0.2034115926</v>
      </c>
      <c r="M519" s="58">
        <v>0.9375</v>
      </c>
      <c r="N519" s="56">
        <f t="shared" si="5"/>
        <v>0.1171548</v>
      </c>
      <c r="O519" s="6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>
        <f t="shared" si="6"/>
        <v>102.7</v>
      </c>
      <c r="AA519" s="35">
        <f t="shared" si="7"/>
        <v>22.3</v>
      </c>
      <c r="AB519" s="35">
        <f t="shared" si="8"/>
        <v>5</v>
      </c>
      <c r="AC519" s="35">
        <f t="shared" si="9"/>
        <v>43.8</v>
      </c>
      <c r="AD519" s="35">
        <f t="shared" si="10"/>
        <v>7.8</v>
      </c>
      <c r="AE519" s="35">
        <f t="shared" si="11"/>
        <v>1.1568</v>
      </c>
      <c r="AF519" s="35">
        <f t="shared" si="12"/>
        <v>1.678082</v>
      </c>
      <c r="AG519" s="35">
        <f t="shared" si="13"/>
        <v>1.230769</v>
      </c>
      <c r="AH519" s="35">
        <f t="shared" si="14"/>
        <v>1.12</v>
      </c>
      <c r="AI519" s="35">
        <f t="shared" si="15"/>
        <v>1.206278</v>
      </c>
    </row>
    <row r="520">
      <c r="A520" s="63" t="s">
        <v>110</v>
      </c>
      <c r="B520" s="63" t="s">
        <v>107</v>
      </c>
      <c r="C520" s="58">
        <v>2017.0</v>
      </c>
      <c r="D520" s="58">
        <v>0.101813</v>
      </c>
      <c r="E520" s="58">
        <v>16.7</v>
      </c>
      <c r="F520" s="53">
        <f t="shared" si="1"/>
        <v>1.912811738</v>
      </c>
      <c r="G520" s="58">
        <v>4.9</v>
      </c>
      <c r="H520" s="54">
        <f t="shared" si="2"/>
        <v>0.5938038072</v>
      </c>
      <c r="I520" s="58">
        <v>9.8</v>
      </c>
      <c r="J520" s="54">
        <f t="shared" si="3"/>
        <v>1.685882676</v>
      </c>
      <c r="K520" s="64">
        <v>1.253424658</v>
      </c>
      <c r="L520" s="54">
        <f t="shared" si="4"/>
        <v>0.1591042902</v>
      </c>
      <c r="M520" s="58">
        <v>1.130137</v>
      </c>
      <c r="N520" s="56">
        <f t="shared" si="5"/>
        <v>0.1370958679</v>
      </c>
      <c r="O520" s="6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>
        <f t="shared" si="6"/>
        <v>105.6</v>
      </c>
      <c r="AA520" s="35">
        <f t="shared" si="7"/>
        <v>22.6</v>
      </c>
      <c r="AB520" s="35">
        <f t="shared" si="8"/>
        <v>4.7</v>
      </c>
      <c r="AC520" s="35">
        <f t="shared" si="9"/>
        <v>43.5</v>
      </c>
      <c r="AD520" s="35">
        <f t="shared" si="10"/>
        <v>7.7</v>
      </c>
      <c r="AE520" s="35">
        <f t="shared" si="11"/>
        <v>1.125</v>
      </c>
      <c r="AF520" s="35">
        <f t="shared" si="12"/>
        <v>1.689655</v>
      </c>
      <c r="AG520" s="35">
        <f t="shared" si="13"/>
        <v>1.246753</v>
      </c>
      <c r="AH520" s="35">
        <f t="shared" si="14"/>
        <v>1.191489</v>
      </c>
      <c r="AI520" s="35">
        <f t="shared" si="15"/>
        <v>1.190265</v>
      </c>
    </row>
    <row r="521">
      <c r="A521" s="63" t="s">
        <v>110</v>
      </c>
      <c r="B521" s="63" t="s">
        <v>107</v>
      </c>
      <c r="C521" s="58">
        <v>2018.0</v>
      </c>
      <c r="D521" s="58">
        <v>0.104603</v>
      </c>
      <c r="E521" s="58">
        <v>18.5</v>
      </c>
      <c r="F521" s="53">
        <f t="shared" si="1"/>
        <v>2.162729787</v>
      </c>
      <c r="G521" s="58">
        <v>6.1</v>
      </c>
      <c r="H521" s="54">
        <f t="shared" si="2"/>
        <v>0.7398409415</v>
      </c>
      <c r="I521" s="58">
        <v>10.7</v>
      </c>
      <c r="J521" s="54">
        <f t="shared" si="3"/>
        <v>1.891149907</v>
      </c>
      <c r="K521" s="64">
        <v>1.8</v>
      </c>
      <c r="L521" s="54">
        <f t="shared" si="4"/>
        <v>0.2347453873</v>
      </c>
      <c r="M521" s="58">
        <v>1.22</v>
      </c>
      <c r="N521" s="56">
        <f t="shared" si="5"/>
        <v>0.1488849792</v>
      </c>
      <c r="O521" s="6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>
        <f t="shared" si="6"/>
        <v>106.3</v>
      </c>
      <c r="AA521" s="35">
        <f t="shared" si="7"/>
        <v>23.2</v>
      </c>
      <c r="AB521" s="35">
        <f t="shared" si="8"/>
        <v>4.8</v>
      </c>
      <c r="AC521" s="35">
        <f t="shared" si="9"/>
        <v>43.5</v>
      </c>
      <c r="AD521" s="35">
        <f t="shared" si="10"/>
        <v>7.7</v>
      </c>
      <c r="AE521" s="35">
        <f t="shared" si="11"/>
        <v>1.1176</v>
      </c>
      <c r="AF521" s="35">
        <f t="shared" si="12"/>
        <v>1.689655</v>
      </c>
      <c r="AG521" s="35">
        <f t="shared" si="13"/>
        <v>1.246753</v>
      </c>
      <c r="AH521" s="35">
        <f t="shared" si="14"/>
        <v>1.166667</v>
      </c>
      <c r="AI521" s="35">
        <f t="shared" si="15"/>
        <v>1.159483</v>
      </c>
    </row>
    <row r="522">
      <c r="A522" s="63" t="s">
        <v>110</v>
      </c>
      <c r="B522" s="63" t="s">
        <v>107</v>
      </c>
      <c r="C522" s="58">
        <v>2019.0</v>
      </c>
      <c r="D522" s="58">
        <v>0.111576</v>
      </c>
      <c r="E522" s="58">
        <v>20.1</v>
      </c>
      <c r="F522" s="53">
        <f t="shared" si="1"/>
        <v>2.39585248</v>
      </c>
      <c r="G522" s="58">
        <v>7.3</v>
      </c>
      <c r="H522" s="54">
        <f t="shared" si="2"/>
        <v>0.8906577408</v>
      </c>
      <c r="I522" s="58">
        <v>10.8</v>
      </c>
      <c r="J522" s="54">
        <f t="shared" si="3"/>
        <v>1.959491553</v>
      </c>
      <c r="K522" s="64">
        <v>2.025</v>
      </c>
      <c r="L522" s="54">
        <f t="shared" si="4"/>
        <v>0.2853996869</v>
      </c>
      <c r="M522" s="58">
        <v>1.03125</v>
      </c>
      <c r="N522" s="56">
        <f t="shared" si="5"/>
        <v>0.12887028</v>
      </c>
      <c r="O522" s="6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>
        <f t="shared" si="6"/>
        <v>111.2</v>
      </c>
      <c r="AA522" s="35">
        <f t="shared" si="7"/>
        <v>24.6</v>
      </c>
      <c r="AB522" s="35">
        <f t="shared" si="8"/>
        <v>5</v>
      </c>
      <c r="AC522" s="35">
        <f t="shared" si="9"/>
        <v>45.2</v>
      </c>
      <c r="AD522" s="35">
        <f t="shared" si="10"/>
        <v>7.6</v>
      </c>
      <c r="AE522" s="35">
        <f t="shared" si="11"/>
        <v>1.0683</v>
      </c>
      <c r="AF522" s="35">
        <f t="shared" si="12"/>
        <v>1.626106</v>
      </c>
      <c r="AG522" s="35">
        <f t="shared" si="13"/>
        <v>1.263158</v>
      </c>
      <c r="AH522" s="35">
        <f t="shared" si="14"/>
        <v>1.12</v>
      </c>
      <c r="AI522" s="35">
        <f t="shared" si="15"/>
        <v>1.093496</v>
      </c>
    </row>
    <row r="523">
      <c r="A523" s="63" t="s">
        <v>110</v>
      </c>
      <c r="B523" s="63" t="s">
        <v>107</v>
      </c>
      <c r="C523" s="58">
        <v>2020.0</v>
      </c>
      <c r="D523" s="58">
        <v>0.101813</v>
      </c>
      <c r="E523" s="58">
        <v>19.9</v>
      </c>
      <c r="F523" s="53">
        <f t="shared" si="1"/>
        <v>2.152911227</v>
      </c>
      <c r="G523" s="58">
        <v>7.0</v>
      </c>
      <c r="H523" s="54">
        <f t="shared" si="2"/>
        <v>0.7857126072</v>
      </c>
      <c r="I523" s="58">
        <v>9.7</v>
      </c>
      <c r="J523" s="54">
        <f t="shared" si="3"/>
        <v>1.620258445</v>
      </c>
      <c r="K523" s="64">
        <v>1.746575342</v>
      </c>
      <c r="L523" s="54">
        <f t="shared" si="4"/>
        <v>0.2246199033</v>
      </c>
      <c r="M523" s="58">
        <v>0.90411</v>
      </c>
      <c r="N523" s="56">
        <f t="shared" si="5"/>
        <v>0.1052001599</v>
      </c>
      <c r="O523" s="6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>
        <f t="shared" si="6"/>
        <v>111.8</v>
      </c>
      <c r="AA523" s="35">
        <f t="shared" si="7"/>
        <v>24.4</v>
      </c>
      <c r="AB523" s="35">
        <f t="shared" si="8"/>
        <v>4.9</v>
      </c>
      <c r="AC523" s="35">
        <f t="shared" si="9"/>
        <v>44.8</v>
      </c>
      <c r="AD523" s="35">
        <f t="shared" si="10"/>
        <v>7.6</v>
      </c>
      <c r="AE523" s="35">
        <f t="shared" si="11"/>
        <v>1.0626</v>
      </c>
      <c r="AF523" s="35">
        <f t="shared" si="12"/>
        <v>1.640625</v>
      </c>
      <c r="AG523" s="35">
        <f t="shared" si="13"/>
        <v>1.263158</v>
      </c>
      <c r="AH523" s="35">
        <f t="shared" si="14"/>
        <v>1.142857</v>
      </c>
      <c r="AI523" s="35">
        <f t="shared" si="15"/>
        <v>1.102459</v>
      </c>
    </row>
    <row r="524">
      <c r="A524" s="63" t="s">
        <v>110</v>
      </c>
      <c r="B524" s="63" t="s">
        <v>107</v>
      </c>
      <c r="C524" s="58">
        <v>2021.0</v>
      </c>
      <c r="D524" s="58">
        <v>0.100418</v>
      </c>
      <c r="E524" s="58">
        <v>26.4</v>
      </c>
      <c r="F524" s="53">
        <f t="shared" si="1"/>
        <v>2.809567105</v>
      </c>
      <c r="G524" s="58">
        <v>8.3</v>
      </c>
      <c r="H524" s="54">
        <f t="shared" si="2"/>
        <v>0.9040450884</v>
      </c>
      <c r="I524" s="58">
        <v>10.8</v>
      </c>
      <c r="J524" s="54">
        <f t="shared" si="3"/>
        <v>1.799363391</v>
      </c>
      <c r="K524" s="64">
        <v>1.979166667</v>
      </c>
      <c r="L524" s="54">
        <f t="shared" si="4"/>
        <v>0.251045021</v>
      </c>
      <c r="M524" s="58">
        <v>1.0</v>
      </c>
      <c r="N524" s="56">
        <f t="shared" si="5"/>
        <v>0.1147634142</v>
      </c>
      <c r="O524" s="6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>
        <f t="shared" si="6"/>
        <v>112.1</v>
      </c>
      <c r="AA524" s="35">
        <f t="shared" si="7"/>
        <v>24.8</v>
      </c>
      <c r="AB524" s="35">
        <f t="shared" si="8"/>
        <v>4.9</v>
      </c>
      <c r="AC524" s="35">
        <f t="shared" si="9"/>
        <v>44.3</v>
      </c>
      <c r="AD524" s="35">
        <f t="shared" si="10"/>
        <v>7.6</v>
      </c>
      <c r="AE524" s="35">
        <f t="shared" si="11"/>
        <v>1.0598</v>
      </c>
      <c r="AF524" s="35">
        <f t="shared" si="12"/>
        <v>1.659142</v>
      </c>
      <c r="AG524" s="35">
        <f t="shared" si="13"/>
        <v>1.263158</v>
      </c>
      <c r="AH524" s="35">
        <f t="shared" si="14"/>
        <v>1.142857</v>
      </c>
      <c r="AI524" s="35">
        <f t="shared" si="15"/>
        <v>1.084677</v>
      </c>
    </row>
    <row r="525">
      <c r="A525" s="63" t="s">
        <v>110</v>
      </c>
      <c r="B525" s="63" t="s">
        <v>107</v>
      </c>
      <c r="C525" s="58">
        <v>2022.0</v>
      </c>
      <c r="D525" s="58">
        <v>0.103208</v>
      </c>
      <c r="E525" s="58">
        <v>27.1</v>
      </c>
      <c r="F525" s="53">
        <f t="shared" si="1"/>
        <v>3.004189817</v>
      </c>
      <c r="G525" s="58">
        <v>7.9</v>
      </c>
      <c r="H525" s="54">
        <f t="shared" si="2"/>
        <v>0.8915745278</v>
      </c>
      <c r="I525" s="58">
        <v>13.8</v>
      </c>
      <c r="J525" s="54">
        <f t="shared" si="3"/>
        <v>2.352446056</v>
      </c>
      <c r="K525" s="64">
        <v>2.209459459</v>
      </c>
      <c r="L525" s="54">
        <f t="shared" si="4"/>
        <v>0.2880428348</v>
      </c>
      <c r="M525" s="58">
        <v>1.277027</v>
      </c>
      <c r="N525" s="56">
        <f t="shared" si="5"/>
        <v>0.1570375384</v>
      </c>
      <c r="O525" s="6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>
        <f t="shared" si="6"/>
        <v>110.6</v>
      </c>
      <c r="AA525" s="35">
        <f t="shared" si="7"/>
        <v>24.6</v>
      </c>
      <c r="AB525" s="35">
        <f t="shared" si="8"/>
        <v>4.7</v>
      </c>
      <c r="AC525" s="35">
        <f t="shared" si="9"/>
        <v>44.5</v>
      </c>
      <c r="AD525" s="35">
        <f t="shared" si="10"/>
        <v>7.6</v>
      </c>
      <c r="AE525" s="35">
        <f t="shared" si="11"/>
        <v>1.0741</v>
      </c>
      <c r="AF525" s="35">
        <f t="shared" si="12"/>
        <v>1.651685</v>
      </c>
      <c r="AG525" s="35">
        <f t="shared" si="13"/>
        <v>1.263158</v>
      </c>
      <c r="AH525" s="35">
        <f t="shared" si="14"/>
        <v>1.191489</v>
      </c>
      <c r="AI525" s="35">
        <f t="shared" si="15"/>
        <v>1.093496</v>
      </c>
    </row>
    <row r="526">
      <c r="A526" s="63" t="s">
        <v>110</v>
      </c>
      <c r="B526" s="63" t="s">
        <v>107</v>
      </c>
      <c r="C526" s="58">
        <v>2023.0</v>
      </c>
      <c r="D526" s="58">
        <v>0.096234</v>
      </c>
      <c r="E526" s="58">
        <v>24.5</v>
      </c>
      <c r="F526" s="53">
        <f t="shared" si="1"/>
        <v>2.441904068</v>
      </c>
      <c r="G526" s="58">
        <v>9.8</v>
      </c>
      <c r="H526" s="54">
        <f t="shared" si="2"/>
        <v>1.002735357</v>
      </c>
      <c r="I526" s="58">
        <v>11.8</v>
      </c>
      <c r="J526" s="54">
        <f t="shared" si="3"/>
        <v>1.923127399</v>
      </c>
      <c r="K526" s="64">
        <v>1.891304348</v>
      </c>
      <c r="L526" s="54">
        <f t="shared" si="4"/>
        <v>0.2393526107</v>
      </c>
      <c r="M526" s="58">
        <v>1.021739</v>
      </c>
      <c r="N526" s="56">
        <f t="shared" si="5"/>
        <v>0.1171543843</v>
      </c>
      <c r="O526" s="6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>
        <f t="shared" si="6"/>
        <v>114.7</v>
      </c>
      <c r="AA526" s="35">
        <f t="shared" si="7"/>
        <v>25.3</v>
      </c>
      <c r="AB526" s="35">
        <f t="shared" si="8"/>
        <v>4.7</v>
      </c>
      <c r="AC526" s="35">
        <f t="shared" si="9"/>
        <v>43.4</v>
      </c>
      <c r="AD526" s="35">
        <f t="shared" si="10"/>
        <v>7.3</v>
      </c>
      <c r="AE526" s="35">
        <f t="shared" si="11"/>
        <v>1.0357</v>
      </c>
      <c r="AF526" s="35">
        <f t="shared" si="12"/>
        <v>1.693548</v>
      </c>
      <c r="AG526" s="35">
        <f t="shared" si="13"/>
        <v>1.315068</v>
      </c>
      <c r="AH526" s="35">
        <f t="shared" si="14"/>
        <v>1.191489</v>
      </c>
      <c r="AI526" s="35">
        <f t="shared" si="15"/>
        <v>1.063241</v>
      </c>
    </row>
    <row r="527">
      <c r="A527" s="63" t="s">
        <v>110</v>
      </c>
      <c r="B527" s="63" t="s">
        <v>107</v>
      </c>
      <c r="C527" s="58">
        <v>2024.0</v>
      </c>
      <c r="D527" s="58">
        <v>0.110181</v>
      </c>
      <c r="E527" s="58">
        <v>26.4</v>
      </c>
      <c r="F527" s="53">
        <f t="shared" si="1"/>
        <v>3.02600217</v>
      </c>
      <c r="G527" s="58">
        <v>9.0</v>
      </c>
      <c r="H527" s="54">
        <f t="shared" si="2"/>
        <v>0.9990572928</v>
      </c>
      <c r="I527" s="58">
        <v>12.4</v>
      </c>
      <c r="J527" s="54">
        <f t="shared" si="3"/>
        <v>2.308481682</v>
      </c>
      <c r="K527" s="64">
        <v>2.050632911</v>
      </c>
      <c r="L527" s="54">
        <f t="shared" si="4"/>
        <v>0.2892042045</v>
      </c>
      <c r="M527" s="58">
        <v>1.291139</v>
      </c>
      <c r="N527" s="56">
        <f t="shared" si="5"/>
        <v>0.1562059149</v>
      </c>
      <c r="O527" s="6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>
        <f t="shared" si="6"/>
        <v>114.2</v>
      </c>
      <c r="AA527" s="35">
        <f t="shared" si="7"/>
        <v>26.7</v>
      </c>
      <c r="AB527" s="35">
        <f t="shared" si="8"/>
        <v>5.1</v>
      </c>
      <c r="AC527" s="35">
        <f t="shared" si="9"/>
        <v>43.5</v>
      </c>
      <c r="AD527" s="35">
        <f t="shared" si="10"/>
        <v>7.5</v>
      </c>
      <c r="AE527" s="35">
        <f t="shared" si="11"/>
        <v>1.0403</v>
      </c>
      <c r="AF527" s="35">
        <f t="shared" si="12"/>
        <v>1.689655</v>
      </c>
      <c r="AG527" s="35">
        <f t="shared" si="13"/>
        <v>1.28</v>
      </c>
      <c r="AH527" s="35">
        <f t="shared" si="14"/>
        <v>1.098039</v>
      </c>
      <c r="AI527" s="35">
        <f t="shared" si="15"/>
        <v>1.007491</v>
      </c>
    </row>
    <row r="528">
      <c r="A528" s="63" t="s">
        <v>110</v>
      </c>
      <c r="B528" s="63" t="s">
        <v>107</v>
      </c>
      <c r="C528" s="58">
        <v>2025.0</v>
      </c>
      <c r="D528" s="58">
        <v>0.058577</v>
      </c>
      <c r="E528" s="58">
        <v>29.6</v>
      </c>
      <c r="F528" s="53">
        <f t="shared" si="1"/>
        <v>1.809996497</v>
      </c>
      <c r="G528" s="58">
        <v>10.1</v>
      </c>
      <c r="H528" s="54">
        <f t="shared" si="2"/>
        <v>0.6005577285</v>
      </c>
      <c r="I528" s="58">
        <v>12.8</v>
      </c>
      <c r="J528" s="54">
        <f t="shared" si="3"/>
        <v>1.249642917</v>
      </c>
      <c r="K528" s="64">
        <v>2.714285714</v>
      </c>
      <c r="L528" s="54">
        <f t="shared" si="4"/>
        <v>0.1861401998</v>
      </c>
      <c r="M528" s="58">
        <v>0.964286</v>
      </c>
      <c r="N528" s="56">
        <f t="shared" si="5"/>
        <v>0.06455425596</v>
      </c>
      <c r="O528" s="6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>
        <f t="shared" si="6"/>
        <v>113.8</v>
      </c>
      <c r="AA528" s="35">
        <f t="shared" si="7"/>
        <v>26.5</v>
      </c>
      <c r="AB528" s="35">
        <f t="shared" si="8"/>
        <v>4.9</v>
      </c>
      <c r="AC528" s="35">
        <f t="shared" si="9"/>
        <v>44.1</v>
      </c>
      <c r="AD528" s="35">
        <f t="shared" si="10"/>
        <v>8.2</v>
      </c>
      <c r="AE528" s="35">
        <f t="shared" si="11"/>
        <v>1.0439</v>
      </c>
      <c r="AF528" s="35">
        <f t="shared" si="12"/>
        <v>1.666667</v>
      </c>
      <c r="AG528" s="35">
        <f t="shared" si="13"/>
        <v>1.170732</v>
      </c>
      <c r="AH528" s="35">
        <f t="shared" si="14"/>
        <v>1.142857</v>
      </c>
      <c r="AI528" s="35">
        <f t="shared" si="15"/>
        <v>1.015094</v>
      </c>
    </row>
    <row r="529">
      <c r="A529" s="35"/>
      <c r="B529" s="35"/>
      <c r="C529" s="35"/>
      <c r="D529" s="35"/>
      <c r="F529" s="66"/>
      <c r="H529" s="67"/>
      <c r="J529" s="67"/>
      <c r="K529" s="68"/>
      <c r="L529" s="67"/>
      <c r="N529" s="69"/>
      <c r="O529" s="6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</row>
    <row r="530">
      <c r="A530" s="35"/>
      <c r="B530" s="35"/>
      <c r="C530" s="35"/>
      <c r="D530" s="35"/>
      <c r="F530" s="66"/>
      <c r="H530" s="67"/>
      <c r="J530" s="67"/>
      <c r="K530" s="68"/>
      <c r="L530" s="67"/>
      <c r="N530" s="69"/>
      <c r="O530" s="6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</row>
    <row r="531">
      <c r="A531" s="35"/>
      <c r="B531" s="35"/>
      <c r="C531" s="35"/>
      <c r="D531" s="35"/>
      <c r="F531" s="66"/>
      <c r="H531" s="67"/>
      <c r="J531" s="67"/>
      <c r="K531" s="68"/>
      <c r="L531" s="67"/>
      <c r="N531" s="69"/>
      <c r="O531" s="6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</row>
    <row r="532">
      <c r="A532" s="35"/>
      <c r="B532" s="35"/>
      <c r="C532" s="35"/>
      <c r="D532" s="35"/>
      <c r="F532" s="66"/>
      <c r="H532" s="67"/>
      <c r="J532" s="67"/>
      <c r="K532" s="68"/>
      <c r="L532" s="67"/>
      <c r="N532" s="69"/>
      <c r="O532" s="6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</row>
    <row r="533">
      <c r="A533" s="35"/>
      <c r="B533" s="35"/>
      <c r="C533" s="35"/>
      <c r="D533" s="35"/>
      <c r="F533" s="66"/>
      <c r="H533" s="67"/>
      <c r="J533" s="67"/>
      <c r="K533" s="68"/>
      <c r="L533" s="67"/>
      <c r="N533" s="69"/>
      <c r="O533" s="6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</row>
    <row r="534">
      <c r="A534" s="35"/>
      <c r="B534" s="35"/>
      <c r="C534" s="35"/>
      <c r="D534" s="35"/>
      <c r="F534" s="66"/>
      <c r="H534" s="67"/>
      <c r="J534" s="67"/>
      <c r="K534" s="68"/>
      <c r="L534" s="67"/>
      <c r="N534" s="69"/>
      <c r="O534" s="6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</row>
    <row r="535">
      <c r="A535" s="35"/>
      <c r="B535" s="35"/>
      <c r="C535" s="35"/>
      <c r="D535" s="35"/>
      <c r="F535" s="66"/>
      <c r="H535" s="67"/>
      <c r="J535" s="67"/>
      <c r="K535" s="68"/>
      <c r="L535" s="67"/>
      <c r="N535" s="69"/>
      <c r="O535" s="6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</row>
    <row r="536">
      <c r="A536" s="35"/>
      <c r="B536" s="35"/>
      <c r="C536" s="35"/>
      <c r="D536" s="35"/>
      <c r="F536" s="66"/>
      <c r="H536" s="67"/>
      <c r="J536" s="67"/>
      <c r="K536" s="68"/>
      <c r="L536" s="67"/>
      <c r="N536" s="69"/>
      <c r="O536" s="6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</row>
    <row r="537">
      <c r="A537" s="35"/>
      <c r="B537" s="35"/>
      <c r="C537" s="35"/>
      <c r="D537" s="35"/>
      <c r="F537" s="66"/>
      <c r="H537" s="67"/>
      <c r="J537" s="67"/>
      <c r="K537" s="68"/>
      <c r="L537" s="67"/>
      <c r="N537" s="69"/>
      <c r="O537" s="6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</row>
    <row r="538">
      <c r="A538" s="35"/>
      <c r="B538" s="35"/>
      <c r="C538" s="35"/>
      <c r="D538" s="35"/>
      <c r="F538" s="66"/>
      <c r="H538" s="67"/>
      <c r="J538" s="67"/>
      <c r="K538" s="68"/>
      <c r="L538" s="67"/>
      <c r="N538" s="69"/>
      <c r="O538" s="6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</row>
    <row r="539">
      <c r="A539" s="35"/>
      <c r="B539" s="35"/>
      <c r="C539" s="35"/>
      <c r="D539" s="35"/>
      <c r="F539" s="66"/>
      <c r="H539" s="67"/>
      <c r="J539" s="67"/>
      <c r="K539" s="68"/>
      <c r="L539" s="67"/>
      <c r="N539" s="69"/>
      <c r="O539" s="6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</row>
    <row r="540">
      <c r="A540" s="35"/>
      <c r="B540" s="35"/>
      <c r="C540" s="35"/>
      <c r="D540" s="35"/>
      <c r="F540" s="66"/>
      <c r="H540" s="67"/>
      <c r="J540" s="67"/>
      <c r="K540" s="68"/>
      <c r="L540" s="67"/>
      <c r="N540" s="69"/>
      <c r="O540" s="6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</row>
    <row r="541">
      <c r="A541" s="35"/>
      <c r="B541" s="35"/>
      <c r="C541" s="35"/>
      <c r="D541" s="35"/>
      <c r="F541" s="66"/>
      <c r="H541" s="67"/>
      <c r="J541" s="67"/>
      <c r="K541" s="68"/>
      <c r="L541" s="67"/>
      <c r="N541" s="69"/>
      <c r="O541" s="6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</row>
    <row r="542">
      <c r="A542" s="35"/>
      <c r="B542" s="35"/>
      <c r="C542" s="35"/>
      <c r="D542" s="35"/>
      <c r="F542" s="66"/>
      <c r="H542" s="67"/>
      <c r="J542" s="67"/>
      <c r="K542" s="68"/>
      <c r="L542" s="67"/>
      <c r="N542" s="69"/>
      <c r="O542" s="6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</row>
    <row r="543">
      <c r="A543" s="35"/>
      <c r="B543" s="35"/>
      <c r="C543" s="35"/>
      <c r="D543" s="35"/>
      <c r="F543" s="66"/>
      <c r="H543" s="67"/>
      <c r="J543" s="67"/>
      <c r="K543" s="68"/>
      <c r="L543" s="67"/>
      <c r="N543" s="69"/>
      <c r="O543" s="6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</row>
    <row r="544">
      <c r="A544" s="35"/>
      <c r="B544" s="35"/>
      <c r="C544" s="35"/>
      <c r="D544" s="35"/>
      <c r="F544" s="66"/>
      <c r="H544" s="67"/>
      <c r="J544" s="67"/>
      <c r="K544" s="68"/>
      <c r="L544" s="67"/>
      <c r="N544" s="69"/>
      <c r="O544" s="6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</row>
    <row r="545">
      <c r="A545" s="35"/>
      <c r="B545" s="35"/>
      <c r="C545" s="35"/>
      <c r="D545" s="35"/>
      <c r="F545" s="66"/>
      <c r="H545" s="67"/>
      <c r="J545" s="67"/>
      <c r="K545" s="68"/>
      <c r="L545" s="67"/>
      <c r="N545" s="69"/>
      <c r="O545" s="6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</row>
    <row r="546">
      <c r="A546" s="35"/>
      <c r="B546" s="35"/>
      <c r="C546" s="35"/>
      <c r="D546" s="35"/>
      <c r="F546" s="66"/>
      <c r="H546" s="67"/>
      <c r="J546" s="67"/>
      <c r="K546" s="68"/>
      <c r="L546" s="67"/>
      <c r="N546" s="69"/>
      <c r="O546" s="6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</row>
    <row r="547">
      <c r="A547" s="35"/>
      <c r="B547" s="35"/>
      <c r="C547" s="35"/>
      <c r="D547" s="35"/>
      <c r="F547" s="66"/>
      <c r="H547" s="67"/>
      <c r="J547" s="67"/>
      <c r="K547" s="68"/>
      <c r="L547" s="67"/>
      <c r="N547" s="69"/>
      <c r="O547" s="6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</row>
    <row r="548">
      <c r="A548" s="35"/>
      <c r="B548" s="35"/>
      <c r="C548" s="35"/>
      <c r="D548" s="35"/>
      <c r="F548" s="66"/>
      <c r="H548" s="67"/>
      <c r="J548" s="67"/>
      <c r="K548" s="68"/>
      <c r="L548" s="67"/>
      <c r="N548" s="69"/>
      <c r="O548" s="6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</row>
    <row r="549">
      <c r="A549" s="35"/>
      <c r="B549" s="35"/>
      <c r="C549" s="35"/>
      <c r="D549" s="35"/>
      <c r="F549" s="66"/>
      <c r="H549" s="67"/>
      <c r="J549" s="67"/>
      <c r="K549" s="68"/>
      <c r="L549" s="67"/>
      <c r="N549" s="69"/>
      <c r="O549" s="6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</row>
    <row r="550">
      <c r="A550" s="35"/>
      <c r="B550" s="35"/>
      <c r="C550" s="35"/>
      <c r="D550" s="35"/>
      <c r="F550" s="66"/>
      <c r="H550" s="67"/>
      <c r="J550" s="67"/>
      <c r="K550" s="68"/>
      <c r="L550" s="67"/>
      <c r="N550" s="69"/>
      <c r="O550" s="6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</row>
    <row r="551">
      <c r="A551" s="35"/>
      <c r="B551" s="35"/>
      <c r="C551" s="35"/>
      <c r="D551" s="35"/>
      <c r="F551" s="66"/>
      <c r="H551" s="67"/>
      <c r="J551" s="67"/>
      <c r="K551" s="68"/>
      <c r="L551" s="67"/>
      <c r="N551" s="69"/>
      <c r="O551" s="6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</row>
    <row r="552">
      <c r="A552" s="35"/>
      <c r="B552" s="35"/>
      <c r="C552" s="35"/>
      <c r="D552" s="35"/>
      <c r="F552" s="66"/>
      <c r="H552" s="67"/>
      <c r="J552" s="67"/>
      <c r="K552" s="68"/>
      <c r="L552" s="67"/>
      <c r="N552" s="69"/>
      <c r="O552" s="6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</row>
    <row r="553">
      <c r="A553" s="35"/>
      <c r="B553" s="35"/>
      <c r="C553" s="35"/>
      <c r="D553" s="35"/>
      <c r="F553" s="66"/>
      <c r="H553" s="67"/>
      <c r="J553" s="67"/>
      <c r="K553" s="68"/>
      <c r="L553" s="67"/>
      <c r="N553" s="69"/>
      <c r="O553" s="6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</row>
    <row r="554">
      <c r="A554" s="35"/>
      <c r="B554" s="35"/>
      <c r="C554" s="35"/>
      <c r="D554" s="35"/>
      <c r="F554" s="66"/>
      <c r="H554" s="67"/>
      <c r="J554" s="67"/>
      <c r="K554" s="68"/>
      <c r="L554" s="67"/>
      <c r="N554" s="69"/>
      <c r="O554" s="6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</row>
    <row r="555">
      <c r="A555" s="35"/>
      <c r="B555" s="35"/>
      <c r="C555" s="35"/>
      <c r="D555" s="35"/>
      <c r="F555" s="66"/>
      <c r="H555" s="67"/>
      <c r="J555" s="67"/>
      <c r="K555" s="68"/>
      <c r="L555" s="67"/>
      <c r="N555" s="69"/>
      <c r="O555" s="6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</row>
    <row r="556">
      <c r="A556" s="35"/>
      <c r="B556" s="35"/>
      <c r="C556" s="35"/>
      <c r="D556" s="35"/>
      <c r="F556" s="66"/>
      <c r="H556" s="67"/>
      <c r="J556" s="67"/>
      <c r="K556" s="68"/>
      <c r="L556" s="67"/>
      <c r="N556" s="69"/>
      <c r="O556" s="6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</row>
    <row r="557">
      <c r="A557" s="35"/>
      <c r="B557" s="35"/>
      <c r="C557" s="35"/>
      <c r="D557" s="35"/>
      <c r="F557" s="66"/>
      <c r="H557" s="67"/>
      <c r="J557" s="67"/>
      <c r="K557" s="68"/>
      <c r="L557" s="67"/>
      <c r="N557" s="69"/>
      <c r="O557" s="6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</row>
    <row r="558">
      <c r="A558" s="35"/>
      <c r="B558" s="35"/>
      <c r="C558" s="35"/>
      <c r="D558" s="35"/>
      <c r="F558" s="66"/>
      <c r="H558" s="67"/>
      <c r="J558" s="67"/>
      <c r="K558" s="68"/>
      <c r="L558" s="67"/>
      <c r="N558" s="69"/>
      <c r="O558" s="6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</row>
    <row r="559">
      <c r="A559" s="35"/>
      <c r="B559" s="35"/>
      <c r="C559" s="35"/>
      <c r="D559" s="35"/>
      <c r="F559" s="66"/>
      <c r="H559" s="67"/>
      <c r="J559" s="67"/>
      <c r="K559" s="68"/>
      <c r="L559" s="67"/>
      <c r="N559" s="69"/>
      <c r="O559" s="6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</row>
    <row r="560">
      <c r="A560" s="35"/>
      <c r="B560" s="35"/>
      <c r="C560" s="35"/>
      <c r="D560" s="35"/>
      <c r="F560" s="66"/>
      <c r="H560" s="67"/>
      <c r="J560" s="67"/>
      <c r="K560" s="68"/>
      <c r="L560" s="67"/>
      <c r="N560" s="69"/>
      <c r="O560" s="6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</row>
    <row r="561">
      <c r="A561" s="35"/>
      <c r="B561" s="35"/>
      <c r="C561" s="35"/>
      <c r="D561" s="35"/>
      <c r="F561" s="66"/>
      <c r="H561" s="67"/>
      <c r="J561" s="67"/>
      <c r="K561" s="68"/>
      <c r="L561" s="67"/>
      <c r="N561" s="69"/>
      <c r="O561" s="6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</row>
    <row r="562">
      <c r="A562" s="35"/>
      <c r="B562" s="35"/>
      <c r="C562" s="35"/>
      <c r="D562" s="35"/>
      <c r="F562" s="66"/>
      <c r="H562" s="67"/>
      <c r="J562" s="67"/>
      <c r="K562" s="68"/>
      <c r="L562" s="67"/>
      <c r="N562" s="69"/>
      <c r="O562" s="6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</row>
    <row r="563">
      <c r="A563" s="35"/>
      <c r="B563" s="35"/>
      <c r="C563" s="35"/>
      <c r="D563" s="35"/>
      <c r="F563" s="66"/>
      <c r="H563" s="67"/>
      <c r="J563" s="67"/>
      <c r="K563" s="68"/>
      <c r="L563" s="67"/>
      <c r="N563" s="69"/>
      <c r="O563" s="6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</row>
    <row r="564">
      <c r="A564" s="35"/>
      <c r="B564" s="35"/>
      <c r="C564" s="35"/>
      <c r="D564" s="35"/>
      <c r="F564" s="66"/>
      <c r="H564" s="67"/>
      <c r="J564" s="67"/>
      <c r="K564" s="68"/>
      <c r="L564" s="67"/>
      <c r="N564" s="69"/>
      <c r="O564" s="6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</row>
    <row r="565">
      <c r="A565" s="35"/>
      <c r="B565" s="35"/>
      <c r="C565" s="35"/>
      <c r="D565" s="35"/>
      <c r="F565" s="66"/>
      <c r="H565" s="67"/>
      <c r="J565" s="67"/>
      <c r="K565" s="68"/>
      <c r="L565" s="67"/>
      <c r="N565" s="69"/>
      <c r="O565" s="6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</row>
    <row r="566">
      <c r="A566" s="35"/>
      <c r="B566" s="35"/>
      <c r="C566" s="35"/>
      <c r="D566" s="35"/>
      <c r="F566" s="66"/>
      <c r="H566" s="67"/>
      <c r="J566" s="67"/>
      <c r="K566" s="68"/>
      <c r="L566" s="67"/>
      <c r="N566" s="69"/>
      <c r="O566" s="6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</row>
    <row r="567">
      <c r="A567" s="35"/>
      <c r="B567" s="35"/>
      <c r="C567" s="35"/>
      <c r="D567" s="35"/>
      <c r="F567" s="66"/>
      <c r="H567" s="67"/>
      <c r="J567" s="67"/>
      <c r="K567" s="68"/>
      <c r="L567" s="67"/>
      <c r="N567" s="69"/>
      <c r="O567" s="6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</row>
    <row r="568">
      <c r="A568" s="35"/>
      <c r="B568" s="35"/>
      <c r="C568" s="35"/>
      <c r="D568" s="35"/>
      <c r="F568" s="66"/>
      <c r="H568" s="67"/>
      <c r="J568" s="67"/>
      <c r="K568" s="68"/>
      <c r="L568" s="67"/>
      <c r="N568" s="69"/>
      <c r="O568" s="6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</row>
    <row r="569">
      <c r="A569" s="35"/>
      <c r="B569" s="35"/>
      <c r="C569" s="35"/>
      <c r="D569" s="35"/>
      <c r="F569" s="66"/>
      <c r="H569" s="67"/>
      <c r="J569" s="67"/>
      <c r="K569" s="68"/>
      <c r="L569" s="67"/>
      <c r="N569" s="69"/>
      <c r="O569" s="6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</row>
    <row r="570">
      <c r="A570" s="35"/>
      <c r="B570" s="35"/>
      <c r="C570" s="35"/>
      <c r="D570" s="35"/>
      <c r="F570" s="66"/>
      <c r="H570" s="67"/>
      <c r="J570" s="67"/>
      <c r="K570" s="68"/>
      <c r="L570" s="67"/>
      <c r="N570" s="69"/>
      <c r="O570" s="6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</row>
    <row r="571">
      <c r="A571" s="35"/>
      <c r="B571" s="35"/>
      <c r="C571" s="35"/>
      <c r="D571" s="35"/>
      <c r="F571" s="66"/>
      <c r="H571" s="67"/>
      <c r="J571" s="67"/>
      <c r="K571" s="68"/>
      <c r="L571" s="67"/>
      <c r="N571" s="69"/>
      <c r="O571" s="6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</row>
    <row r="572">
      <c r="A572" s="35"/>
      <c r="B572" s="35"/>
      <c r="C572" s="35"/>
      <c r="D572" s="35"/>
      <c r="F572" s="66"/>
      <c r="H572" s="67"/>
      <c r="J572" s="67"/>
      <c r="K572" s="68"/>
      <c r="L572" s="67"/>
      <c r="N572" s="69"/>
      <c r="O572" s="6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</row>
    <row r="573">
      <c r="A573" s="35"/>
      <c r="B573" s="35"/>
      <c r="C573" s="35"/>
      <c r="D573" s="35"/>
      <c r="F573" s="66"/>
      <c r="H573" s="67"/>
      <c r="J573" s="67"/>
      <c r="K573" s="68"/>
      <c r="L573" s="67"/>
      <c r="N573" s="69"/>
      <c r="O573" s="6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</row>
    <row r="574">
      <c r="A574" s="35"/>
      <c r="B574" s="35"/>
      <c r="C574" s="35"/>
      <c r="D574" s="35"/>
      <c r="F574" s="66"/>
      <c r="H574" s="67"/>
      <c r="J574" s="67"/>
      <c r="K574" s="68"/>
      <c r="L574" s="67"/>
      <c r="N574" s="69"/>
      <c r="O574" s="6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</row>
    <row r="575">
      <c r="A575" s="35"/>
      <c r="B575" s="35"/>
      <c r="C575" s="35"/>
      <c r="D575" s="35"/>
      <c r="F575" s="66"/>
      <c r="H575" s="67"/>
      <c r="J575" s="67"/>
      <c r="K575" s="68"/>
      <c r="L575" s="67"/>
      <c r="N575" s="69"/>
      <c r="O575" s="6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</row>
    <row r="576">
      <c r="A576" s="35"/>
      <c r="B576" s="35"/>
      <c r="C576" s="35"/>
      <c r="D576" s="35"/>
      <c r="F576" s="66"/>
      <c r="H576" s="67"/>
      <c r="J576" s="67"/>
      <c r="K576" s="68"/>
      <c r="L576" s="67"/>
      <c r="N576" s="69"/>
      <c r="O576" s="6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</row>
    <row r="577">
      <c r="A577" s="35"/>
      <c r="B577" s="35"/>
      <c r="C577" s="35"/>
      <c r="D577" s="35"/>
      <c r="F577" s="66"/>
      <c r="H577" s="67"/>
      <c r="J577" s="67"/>
      <c r="K577" s="68"/>
      <c r="L577" s="67"/>
      <c r="N577" s="69"/>
      <c r="O577" s="6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</row>
    <row r="578">
      <c r="A578" s="35"/>
      <c r="B578" s="35"/>
      <c r="C578" s="35"/>
      <c r="D578" s="35"/>
      <c r="F578" s="66"/>
      <c r="H578" s="67"/>
      <c r="J578" s="67"/>
      <c r="K578" s="68"/>
      <c r="L578" s="67"/>
      <c r="N578" s="69"/>
      <c r="O578" s="6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</row>
    <row r="579">
      <c r="A579" s="35"/>
      <c r="B579" s="35"/>
      <c r="C579" s="35"/>
      <c r="D579" s="35"/>
      <c r="F579" s="66"/>
      <c r="H579" s="67"/>
      <c r="J579" s="67"/>
      <c r="K579" s="68"/>
      <c r="L579" s="67"/>
      <c r="N579" s="69"/>
      <c r="O579" s="6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</row>
    <row r="580">
      <c r="A580" s="35"/>
      <c r="B580" s="35"/>
      <c r="C580" s="35"/>
      <c r="D580" s="35"/>
      <c r="F580" s="66"/>
      <c r="H580" s="67"/>
      <c r="J580" s="67"/>
      <c r="K580" s="68"/>
      <c r="L580" s="67"/>
      <c r="N580" s="69"/>
      <c r="O580" s="6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</row>
    <row r="581">
      <c r="A581" s="35"/>
      <c r="B581" s="35"/>
      <c r="C581" s="35"/>
      <c r="D581" s="35"/>
      <c r="F581" s="66"/>
      <c r="H581" s="67"/>
      <c r="J581" s="67"/>
      <c r="K581" s="68"/>
      <c r="L581" s="67"/>
      <c r="N581" s="69"/>
      <c r="O581" s="6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</row>
    <row r="582">
      <c r="A582" s="35"/>
      <c r="B582" s="35"/>
      <c r="C582" s="35"/>
      <c r="D582" s="35"/>
      <c r="F582" s="66"/>
      <c r="H582" s="67"/>
      <c r="J582" s="67"/>
      <c r="K582" s="68"/>
      <c r="L582" s="67"/>
      <c r="N582" s="69"/>
      <c r="O582" s="6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</row>
    <row r="583">
      <c r="A583" s="35"/>
      <c r="B583" s="35"/>
      <c r="C583" s="35"/>
      <c r="D583" s="35"/>
      <c r="F583" s="66"/>
      <c r="H583" s="67"/>
      <c r="J583" s="67"/>
      <c r="K583" s="68"/>
      <c r="L583" s="67"/>
      <c r="N583" s="69"/>
      <c r="O583" s="6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</row>
    <row r="584">
      <c r="A584" s="35"/>
      <c r="B584" s="35"/>
      <c r="C584" s="35"/>
      <c r="D584" s="35"/>
      <c r="F584" s="66"/>
      <c r="H584" s="67"/>
      <c r="J584" s="67"/>
      <c r="K584" s="68"/>
      <c r="L584" s="67"/>
      <c r="N584" s="69"/>
      <c r="O584" s="6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</row>
    <row r="585">
      <c r="A585" s="35"/>
      <c r="B585" s="35"/>
      <c r="C585" s="35"/>
      <c r="D585" s="35"/>
      <c r="F585" s="66"/>
      <c r="H585" s="67"/>
      <c r="J585" s="67"/>
      <c r="K585" s="68"/>
      <c r="L585" s="67"/>
      <c r="N585" s="69"/>
      <c r="O585" s="6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</row>
    <row r="586">
      <c r="A586" s="35"/>
      <c r="B586" s="35"/>
      <c r="C586" s="35"/>
      <c r="D586" s="35"/>
      <c r="F586" s="66"/>
      <c r="H586" s="67"/>
      <c r="J586" s="67"/>
      <c r="K586" s="68"/>
      <c r="L586" s="67"/>
      <c r="N586" s="69"/>
      <c r="O586" s="6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</row>
    <row r="587">
      <c r="A587" s="35"/>
      <c r="B587" s="35"/>
      <c r="C587" s="35"/>
      <c r="D587" s="35"/>
      <c r="F587" s="66"/>
      <c r="H587" s="67"/>
      <c r="J587" s="67"/>
      <c r="K587" s="68"/>
      <c r="L587" s="67"/>
      <c r="N587" s="69"/>
      <c r="O587" s="6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</row>
    <row r="588">
      <c r="A588" s="35"/>
      <c r="B588" s="35"/>
      <c r="C588" s="35"/>
      <c r="D588" s="35"/>
      <c r="F588" s="66"/>
      <c r="H588" s="67"/>
      <c r="J588" s="67"/>
      <c r="K588" s="68"/>
      <c r="L588" s="67"/>
      <c r="N588" s="69"/>
      <c r="O588" s="6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</row>
    <row r="589">
      <c r="A589" s="35"/>
      <c r="B589" s="35"/>
      <c r="C589" s="35"/>
      <c r="D589" s="35"/>
      <c r="F589" s="66"/>
      <c r="H589" s="67"/>
      <c r="J589" s="67"/>
      <c r="K589" s="68"/>
      <c r="L589" s="67"/>
      <c r="N589" s="69"/>
      <c r="O589" s="6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</row>
    <row r="590">
      <c r="A590" s="35"/>
      <c r="B590" s="35"/>
      <c r="C590" s="35"/>
      <c r="D590" s="35"/>
      <c r="F590" s="66"/>
      <c r="H590" s="67"/>
      <c r="J590" s="67"/>
      <c r="K590" s="68"/>
      <c r="L590" s="67"/>
      <c r="N590" s="69"/>
      <c r="O590" s="6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</row>
    <row r="591">
      <c r="A591" s="35"/>
      <c r="B591" s="35"/>
      <c r="C591" s="35"/>
      <c r="D591" s="35"/>
      <c r="F591" s="66"/>
      <c r="H591" s="67"/>
      <c r="J591" s="67"/>
      <c r="K591" s="68"/>
      <c r="L591" s="67"/>
      <c r="N591" s="69"/>
      <c r="O591" s="6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</row>
    <row r="592">
      <c r="A592" s="35"/>
      <c r="B592" s="35"/>
      <c r="C592" s="35"/>
      <c r="D592" s="35"/>
      <c r="F592" s="66"/>
      <c r="H592" s="67"/>
      <c r="J592" s="67"/>
      <c r="K592" s="68"/>
      <c r="L592" s="67"/>
      <c r="N592" s="69"/>
      <c r="O592" s="6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</row>
    <row r="593">
      <c r="A593" s="35"/>
      <c r="B593" s="35"/>
      <c r="C593" s="35"/>
      <c r="D593" s="35"/>
      <c r="F593" s="66"/>
      <c r="H593" s="67"/>
      <c r="J593" s="67"/>
      <c r="K593" s="68"/>
      <c r="L593" s="67"/>
      <c r="N593" s="69"/>
      <c r="O593" s="6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</row>
    <row r="594">
      <c r="A594" s="35"/>
      <c r="B594" s="35"/>
      <c r="C594" s="35"/>
      <c r="D594" s="35"/>
      <c r="F594" s="66"/>
      <c r="H594" s="67"/>
      <c r="J594" s="67"/>
      <c r="K594" s="68"/>
      <c r="L594" s="67"/>
      <c r="N594" s="69"/>
      <c r="O594" s="6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</row>
    <row r="595">
      <c r="A595" s="35"/>
      <c r="B595" s="35"/>
      <c r="C595" s="35"/>
      <c r="D595" s="35"/>
      <c r="F595" s="66"/>
      <c r="H595" s="67"/>
      <c r="J595" s="67"/>
      <c r="K595" s="68"/>
      <c r="L595" s="67"/>
      <c r="N595" s="69"/>
      <c r="O595" s="6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</row>
    <row r="596">
      <c r="A596" s="35"/>
      <c r="B596" s="35"/>
      <c r="C596" s="35"/>
      <c r="D596" s="35"/>
      <c r="F596" s="66"/>
      <c r="H596" s="67"/>
      <c r="J596" s="67"/>
      <c r="K596" s="68"/>
      <c r="L596" s="67"/>
      <c r="N596" s="69"/>
      <c r="O596" s="6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</row>
    <row r="597">
      <c r="A597" s="35"/>
      <c r="B597" s="35"/>
      <c r="C597" s="35"/>
      <c r="D597" s="35"/>
      <c r="F597" s="66"/>
      <c r="H597" s="67"/>
      <c r="J597" s="67"/>
      <c r="K597" s="68"/>
      <c r="L597" s="67"/>
      <c r="N597" s="69"/>
      <c r="O597" s="6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</row>
    <row r="598">
      <c r="A598" s="35"/>
      <c r="B598" s="35"/>
      <c r="C598" s="35"/>
      <c r="D598" s="35"/>
      <c r="F598" s="66"/>
      <c r="H598" s="67"/>
      <c r="J598" s="67"/>
      <c r="K598" s="68"/>
      <c r="L598" s="67"/>
      <c r="N598" s="69"/>
      <c r="O598" s="6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</row>
    <row r="599">
      <c r="A599" s="35"/>
      <c r="B599" s="35"/>
      <c r="C599" s="35"/>
      <c r="D599" s="35"/>
      <c r="F599" s="66"/>
      <c r="H599" s="67"/>
      <c r="J599" s="67"/>
      <c r="K599" s="68"/>
      <c r="L599" s="67"/>
      <c r="N599" s="69"/>
      <c r="O599" s="6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</row>
    <row r="600">
      <c r="A600" s="35"/>
      <c r="B600" s="35"/>
      <c r="C600" s="35"/>
      <c r="D600" s="35"/>
      <c r="F600" s="66"/>
      <c r="H600" s="67"/>
      <c r="J600" s="67"/>
      <c r="K600" s="68"/>
      <c r="L600" s="67"/>
      <c r="N600" s="69"/>
      <c r="O600" s="6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</row>
    <row r="601">
      <c r="A601" s="35"/>
      <c r="B601" s="35"/>
      <c r="C601" s="35"/>
      <c r="D601" s="35"/>
      <c r="F601" s="66"/>
      <c r="H601" s="67"/>
      <c r="J601" s="67"/>
      <c r="K601" s="68"/>
      <c r="L601" s="67"/>
      <c r="N601" s="69"/>
      <c r="O601" s="6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</row>
    <row r="602">
      <c r="A602" s="35"/>
      <c r="B602" s="35"/>
      <c r="C602" s="35"/>
      <c r="D602" s="35"/>
      <c r="F602" s="66"/>
      <c r="H602" s="67"/>
      <c r="J602" s="67"/>
      <c r="K602" s="68"/>
      <c r="L602" s="67"/>
      <c r="N602" s="69"/>
      <c r="O602" s="6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</row>
    <row r="603">
      <c r="A603" s="35"/>
      <c r="B603" s="35"/>
      <c r="C603" s="35"/>
      <c r="D603" s="35"/>
      <c r="F603" s="66"/>
      <c r="H603" s="67"/>
      <c r="J603" s="67"/>
      <c r="K603" s="68"/>
      <c r="L603" s="67"/>
      <c r="N603" s="69"/>
      <c r="O603" s="6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</row>
    <row r="604">
      <c r="A604" s="35"/>
      <c r="B604" s="35"/>
      <c r="C604" s="35"/>
      <c r="D604" s="35"/>
      <c r="F604" s="66"/>
      <c r="H604" s="67"/>
      <c r="J604" s="67"/>
      <c r="K604" s="68"/>
      <c r="L604" s="67"/>
      <c r="N604" s="69"/>
      <c r="O604" s="6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</row>
    <row r="605">
      <c r="A605" s="35"/>
      <c r="B605" s="35"/>
      <c r="C605" s="35"/>
      <c r="D605" s="35"/>
      <c r="F605" s="66"/>
      <c r="H605" s="67"/>
      <c r="J605" s="67"/>
      <c r="K605" s="68"/>
      <c r="L605" s="67"/>
      <c r="N605" s="69"/>
      <c r="O605" s="6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</row>
    <row r="606">
      <c r="A606" s="35"/>
      <c r="B606" s="35"/>
      <c r="C606" s="35"/>
      <c r="D606" s="35"/>
      <c r="F606" s="66"/>
      <c r="H606" s="67"/>
      <c r="J606" s="67"/>
      <c r="K606" s="68"/>
      <c r="L606" s="67"/>
      <c r="N606" s="69"/>
      <c r="O606" s="6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</row>
    <row r="607">
      <c r="A607" s="35"/>
      <c r="B607" s="35"/>
      <c r="C607" s="35"/>
      <c r="D607" s="35"/>
      <c r="F607" s="66"/>
      <c r="H607" s="67"/>
      <c r="J607" s="67"/>
      <c r="K607" s="68"/>
      <c r="L607" s="67"/>
      <c r="N607" s="69"/>
      <c r="O607" s="6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</row>
    <row r="608">
      <c r="A608" s="35"/>
      <c r="B608" s="35"/>
      <c r="C608" s="35"/>
      <c r="D608" s="35"/>
      <c r="F608" s="66"/>
      <c r="H608" s="67"/>
      <c r="J608" s="67"/>
      <c r="K608" s="68"/>
      <c r="L608" s="67"/>
      <c r="N608" s="69"/>
      <c r="O608" s="6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</row>
    <row r="609">
      <c r="A609" s="35"/>
      <c r="B609" s="35"/>
      <c r="C609" s="35"/>
      <c r="D609" s="35"/>
      <c r="F609" s="66"/>
      <c r="H609" s="67"/>
      <c r="J609" s="67"/>
      <c r="K609" s="68"/>
      <c r="L609" s="67"/>
      <c r="N609" s="69"/>
      <c r="O609" s="6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</row>
    <row r="610">
      <c r="A610" s="35"/>
      <c r="B610" s="35"/>
      <c r="C610" s="35"/>
      <c r="D610" s="35"/>
      <c r="F610" s="66"/>
      <c r="H610" s="67"/>
      <c r="J610" s="67"/>
      <c r="K610" s="68"/>
      <c r="L610" s="67"/>
      <c r="N610" s="69"/>
      <c r="O610" s="6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</row>
    <row r="611">
      <c r="A611" s="35"/>
      <c r="B611" s="35"/>
      <c r="C611" s="35"/>
      <c r="D611" s="35"/>
      <c r="F611" s="66"/>
      <c r="H611" s="67"/>
      <c r="J611" s="67"/>
      <c r="K611" s="68"/>
      <c r="L611" s="67"/>
      <c r="N611" s="69"/>
      <c r="O611" s="6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</row>
    <row r="612">
      <c r="A612" s="35"/>
      <c r="B612" s="35"/>
      <c r="C612" s="35"/>
      <c r="D612" s="35"/>
      <c r="F612" s="66"/>
      <c r="H612" s="67"/>
      <c r="J612" s="67"/>
      <c r="K612" s="68"/>
      <c r="L612" s="67"/>
      <c r="N612" s="69"/>
      <c r="O612" s="6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</row>
    <row r="613">
      <c r="A613" s="35"/>
      <c r="B613" s="35"/>
      <c r="C613" s="35"/>
      <c r="D613" s="35"/>
      <c r="F613" s="66"/>
      <c r="H613" s="67"/>
      <c r="J613" s="67"/>
      <c r="K613" s="68"/>
      <c r="L613" s="67"/>
      <c r="N613" s="69"/>
      <c r="O613" s="6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</row>
    <row r="614">
      <c r="A614" s="35"/>
      <c r="B614" s="35"/>
      <c r="C614" s="35"/>
      <c r="D614" s="35"/>
      <c r="F614" s="66"/>
      <c r="H614" s="67"/>
      <c r="J614" s="67"/>
      <c r="K614" s="68"/>
      <c r="L614" s="67"/>
      <c r="N614" s="69"/>
      <c r="O614" s="6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</row>
    <row r="615">
      <c r="A615" s="35"/>
      <c r="B615" s="35"/>
      <c r="C615" s="35"/>
      <c r="D615" s="35"/>
      <c r="F615" s="66"/>
      <c r="H615" s="67"/>
      <c r="J615" s="67"/>
      <c r="K615" s="68"/>
      <c r="L615" s="67"/>
      <c r="N615" s="69"/>
      <c r="O615" s="6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</row>
    <row r="616">
      <c r="A616" s="35"/>
      <c r="B616" s="35"/>
      <c r="C616" s="35"/>
      <c r="D616" s="35"/>
      <c r="F616" s="66"/>
      <c r="H616" s="67"/>
      <c r="J616" s="67"/>
      <c r="K616" s="68"/>
      <c r="L616" s="67"/>
      <c r="N616" s="69"/>
      <c r="O616" s="6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</row>
    <row r="617">
      <c r="A617" s="35"/>
      <c r="B617" s="35"/>
      <c r="C617" s="35"/>
      <c r="D617" s="35"/>
      <c r="F617" s="66"/>
      <c r="H617" s="67"/>
      <c r="J617" s="67"/>
      <c r="K617" s="68"/>
      <c r="L617" s="67"/>
      <c r="N617" s="69"/>
      <c r="O617" s="6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</row>
    <row r="618">
      <c r="A618" s="35"/>
      <c r="B618" s="35"/>
      <c r="C618" s="35"/>
      <c r="D618" s="35"/>
      <c r="F618" s="66"/>
      <c r="H618" s="67"/>
      <c r="J618" s="67"/>
      <c r="K618" s="68"/>
      <c r="L618" s="67"/>
      <c r="N618" s="69"/>
      <c r="O618" s="6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</row>
    <row r="619">
      <c r="A619" s="35"/>
      <c r="B619" s="35"/>
      <c r="C619" s="35"/>
      <c r="D619" s="35"/>
      <c r="F619" s="66"/>
      <c r="H619" s="67"/>
      <c r="J619" s="67"/>
      <c r="K619" s="68"/>
      <c r="L619" s="67"/>
      <c r="N619" s="69"/>
      <c r="O619" s="6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</row>
    <row r="620">
      <c r="A620" s="35"/>
      <c r="B620" s="35"/>
      <c r="C620" s="35"/>
      <c r="D620" s="35"/>
      <c r="F620" s="66"/>
      <c r="H620" s="67"/>
      <c r="J620" s="67"/>
      <c r="K620" s="68"/>
      <c r="L620" s="67"/>
      <c r="N620" s="69"/>
      <c r="O620" s="6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</row>
    <row r="621">
      <c r="A621" s="35"/>
      <c r="B621" s="35"/>
      <c r="C621" s="35"/>
      <c r="D621" s="35"/>
      <c r="F621" s="66"/>
      <c r="H621" s="67"/>
      <c r="J621" s="67"/>
      <c r="K621" s="68"/>
      <c r="L621" s="67"/>
      <c r="N621" s="69"/>
      <c r="O621" s="6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</row>
    <row r="622">
      <c r="A622" s="35"/>
      <c r="B622" s="35"/>
      <c r="C622" s="35"/>
      <c r="D622" s="35"/>
      <c r="F622" s="66"/>
      <c r="H622" s="67"/>
      <c r="J622" s="67"/>
      <c r="K622" s="68"/>
      <c r="L622" s="67"/>
      <c r="N622" s="69"/>
      <c r="O622" s="6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</row>
    <row r="623">
      <c r="A623" s="35"/>
      <c r="B623" s="35"/>
      <c r="C623" s="35"/>
      <c r="D623" s="35"/>
      <c r="F623" s="66"/>
      <c r="H623" s="67"/>
      <c r="J623" s="67"/>
      <c r="K623" s="68"/>
      <c r="L623" s="67"/>
      <c r="N623" s="69"/>
      <c r="O623" s="6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</row>
    <row r="624">
      <c r="A624" s="35"/>
      <c r="B624" s="35"/>
      <c r="C624" s="35"/>
      <c r="D624" s="35"/>
      <c r="F624" s="66"/>
      <c r="H624" s="67"/>
      <c r="J624" s="67"/>
      <c r="K624" s="68"/>
      <c r="L624" s="67"/>
      <c r="N624" s="69"/>
      <c r="O624" s="6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</row>
    <row r="625">
      <c r="A625" s="35"/>
      <c r="B625" s="35"/>
      <c r="C625" s="35"/>
      <c r="D625" s="35"/>
      <c r="F625" s="66"/>
      <c r="H625" s="67"/>
      <c r="J625" s="67"/>
      <c r="K625" s="68"/>
      <c r="L625" s="67"/>
      <c r="N625" s="69"/>
      <c r="O625" s="6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</row>
    <row r="626">
      <c r="A626" s="35"/>
      <c r="B626" s="35"/>
      <c r="C626" s="35"/>
      <c r="D626" s="35"/>
      <c r="F626" s="66"/>
      <c r="H626" s="67"/>
      <c r="J626" s="67"/>
      <c r="K626" s="68"/>
      <c r="L626" s="67"/>
      <c r="N626" s="69"/>
      <c r="O626" s="6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</row>
    <row r="627">
      <c r="A627" s="35"/>
      <c r="B627" s="35"/>
      <c r="C627" s="35"/>
      <c r="D627" s="35"/>
      <c r="F627" s="66"/>
      <c r="H627" s="67"/>
      <c r="J627" s="67"/>
      <c r="K627" s="68"/>
      <c r="L627" s="67"/>
      <c r="N627" s="69"/>
      <c r="O627" s="6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</row>
    <row r="628">
      <c r="A628" s="35"/>
      <c r="B628" s="35"/>
      <c r="C628" s="35"/>
      <c r="D628" s="35"/>
      <c r="F628" s="66"/>
      <c r="H628" s="67"/>
      <c r="J628" s="67"/>
      <c r="K628" s="68"/>
      <c r="L628" s="67"/>
      <c r="N628" s="69"/>
      <c r="O628" s="6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</row>
    <row r="629">
      <c r="A629" s="35"/>
      <c r="B629" s="35"/>
      <c r="C629" s="35"/>
      <c r="D629" s="35"/>
      <c r="F629" s="66"/>
      <c r="H629" s="67"/>
      <c r="J629" s="67"/>
      <c r="K629" s="68"/>
      <c r="L629" s="67"/>
      <c r="N629" s="69"/>
      <c r="O629" s="6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</row>
    <row r="630">
      <c r="A630" s="35"/>
      <c r="B630" s="35"/>
      <c r="C630" s="35"/>
      <c r="D630" s="35"/>
      <c r="F630" s="66"/>
      <c r="H630" s="67"/>
      <c r="J630" s="67"/>
      <c r="K630" s="68"/>
      <c r="L630" s="67"/>
      <c r="N630" s="69"/>
      <c r="O630" s="6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</row>
    <row r="631">
      <c r="A631" s="35"/>
      <c r="B631" s="35"/>
      <c r="C631" s="35"/>
      <c r="D631" s="35"/>
      <c r="F631" s="66"/>
      <c r="H631" s="67"/>
      <c r="J631" s="67"/>
      <c r="K631" s="68"/>
      <c r="L631" s="67"/>
      <c r="N631" s="69"/>
      <c r="O631" s="6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</row>
    <row r="632">
      <c r="A632" s="35"/>
      <c r="B632" s="35"/>
      <c r="C632" s="35"/>
      <c r="D632" s="35"/>
      <c r="F632" s="66"/>
      <c r="H632" s="67"/>
      <c r="J632" s="67"/>
      <c r="K632" s="68"/>
      <c r="L632" s="67"/>
      <c r="N632" s="69"/>
      <c r="O632" s="6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</row>
    <row r="633">
      <c r="A633" s="35"/>
      <c r="B633" s="35"/>
      <c r="C633" s="35"/>
      <c r="D633" s="35"/>
      <c r="F633" s="66"/>
      <c r="H633" s="67"/>
      <c r="J633" s="67"/>
      <c r="K633" s="68"/>
      <c r="L633" s="67"/>
      <c r="N633" s="69"/>
      <c r="O633" s="6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</row>
    <row r="634">
      <c r="A634" s="35"/>
      <c r="B634" s="35"/>
      <c r="C634" s="35"/>
      <c r="D634" s="35"/>
      <c r="F634" s="66"/>
      <c r="H634" s="67"/>
      <c r="J634" s="67"/>
      <c r="K634" s="68"/>
      <c r="L634" s="67"/>
      <c r="N634" s="69"/>
      <c r="O634" s="6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</row>
    <row r="635">
      <c r="A635" s="35"/>
      <c r="B635" s="35"/>
      <c r="C635" s="35"/>
      <c r="D635" s="35"/>
      <c r="F635" s="66"/>
      <c r="H635" s="67"/>
      <c r="J635" s="67"/>
      <c r="K635" s="68"/>
      <c r="L635" s="67"/>
      <c r="N635" s="69"/>
      <c r="O635" s="6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</row>
    <row r="636">
      <c r="A636" s="35"/>
      <c r="B636" s="35"/>
      <c r="C636" s="35"/>
      <c r="D636" s="35"/>
      <c r="F636" s="66"/>
      <c r="H636" s="67"/>
      <c r="J636" s="67"/>
      <c r="K636" s="68"/>
      <c r="L636" s="67"/>
      <c r="N636" s="69"/>
      <c r="O636" s="6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</row>
    <row r="637">
      <c r="A637" s="35"/>
      <c r="B637" s="35"/>
      <c r="C637" s="35"/>
      <c r="D637" s="35"/>
      <c r="F637" s="66"/>
      <c r="H637" s="67"/>
      <c r="J637" s="67"/>
      <c r="K637" s="68"/>
      <c r="L637" s="67"/>
      <c r="N637" s="69"/>
      <c r="O637" s="6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</row>
    <row r="638">
      <c r="A638" s="35"/>
      <c r="B638" s="35"/>
      <c r="C638" s="35"/>
      <c r="D638" s="35"/>
      <c r="F638" s="66"/>
      <c r="H638" s="67"/>
      <c r="J638" s="67"/>
      <c r="K638" s="68"/>
      <c r="L638" s="67"/>
      <c r="N638" s="69"/>
      <c r="O638" s="6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</row>
    <row r="639">
      <c r="A639" s="35"/>
      <c r="B639" s="35"/>
      <c r="C639" s="35"/>
      <c r="D639" s="35"/>
      <c r="F639" s="66"/>
      <c r="H639" s="67"/>
      <c r="J639" s="67"/>
      <c r="K639" s="68"/>
      <c r="L639" s="67"/>
      <c r="N639" s="69"/>
      <c r="O639" s="6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</row>
    <row r="640">
      <c r="A640" s="35"/>
      <c r="B640" s="35"/>
      <c r="C640" s="35"/>
      <c r="D640" s="35"/>
      <c r="F640" s="66"/>
      <c r="H640" s="67"/>
      <c r="J640" s="67"/>
      <c r="K640" s="68"/>
      <c r="L640" s="67"/>
      <c r="N640" s="69"/>
      <c r="O640" s="6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</row>
    <row r="641">
      <c r="A641" s="35"/>
      <c r="B641" s="35"/>
      <c r="C641" s="35"/>
      <c r="D641" s="35"/>
      <c r="F641" s="66"/>
      <c r="H641" s="67"/>
      <c r="J641" s="67"/>
      <c r="K641" s="68"/>
      <c r="L641" s="67"/>
      <c r="N641" s="69"/>
      <c r="O641" s="6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</row>
    <row r="642">
      <c r="A642" s="35"/>
      <c r="B642" s="35"/>
      <c r="C642" s="35"/>
      <c r="D642" s="35"/>
      <c r="F642" s="66"/>
      <c r="H642" s="67"/>
      <c r="J642" s="67"/>
      <c r="K642" s="68"/>
      <c r="L642" s="67"/>
      <c r="N642" s="69"/>
      <c r="O642" s="6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</row>
    <row r="643">
      <c r="A643" s="35"/>
      <c r="B643" s="35"/>
      <c r="C643" s="35"/>
      <c r="D643" s="35"/>
      <c r="F643" s="66"/>
      <c r="H643" s="67"/>
      <c r="J643" s="67"/>
      <c r="K643" s="68"/>
      <c r="L643" s="67"/>
      <c r="N643" s="69"/>
      <c r="O643" s="6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</row>
    <row r="644">
      <c r="A644" s="35"/>
      <c r="B644" s="35"/>
      <c r="C644" s="35"/>
      <c r="D644" s="35"/>
      <c r="F644" s="66"/>
      <c r="H644" s="67"/>
      <c r="J644" s="67"/>
      <c r="K644" s="68"/>
      <c r="L644" s="67"/>
      <c r="N644" s="69"/>
      <c r="O644" s="6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</row>
    <row r="645">
      <c r="A645" s="35"/>
      <c r="B645" s="35"/>
      <c r="C645" s="35"/>
      <c r="D645" s="35"/>
      <c r="F645" s="66"/>
      <c r="H645" s="67"/>
      <c r="J645" s="67"/>
      <c r="K645" s="68"/>
      <c r="L645" s="67"/>
      <c r="N645" s="69"/>
      <c r="O645" s="6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</row>
    <row r="646">
      <c r="A646" s="35"/>
      <c r="B646" s="35"/>
      <c r="C646" s="35"/>
      <c r="D646" s="35"/>
      <c r="F646" s="66"/>
      <c r="H646" s="67"/>
      <c r="J646" s="67"/>
      <c r="K646" s="68"/>
      <c r="L646" s="67"/>
      <c r="N646" s="69"/>
      <c r="O646" s="6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</row>
    <row r="647">
      <c r="A647" s="35"/>
      <c r="B647" s="35"/>
      <c r="C647" s="35"/>
      <c r="D647" s="35"/>
      <c r="F647" s="66"/>
      <c r="H647" s="67"/>
      <c r="J647" s="67"/>
      <c r="K647" s="68"/>
      <c r="L647" s="67"/>
      <c r="N647" s="69"/>
      <c r="O647" s="6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</row>
    <row r="648">
      <c r="A648" s="35"/>
      <c r="B648" s="35"/>
      <c r="C648" s="35"/>
      <c r="D648" s="35"/>
      <c r="F648" s="66"/>
      <c r="H648" s="67"/>
      <c r="J648" s="67"/>
      <c r="K648" s="68"/>
      <c r="L648" s="67"/>
      <c r="N648" s="69"/>
      <c r="O648" s="6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</row>
    <row r="649">
      <c r="A649" s="35"/>
      <c r="B649" s="35"/>
      <c r="C649" s="35"/>
      <c r="D649" s="35"/>
      <c r="F649" s="66"/>
      <c r="H649" s="67"/>
      <c r="J649" s="67"/>
      <c r="K649" s="68"/>
      <c r="L649" s="67"/>
      <c r="N649" s="69"/>
      <c r="O649" s="6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</row>
    <row r="650">
      <c r="A650" s="35"/>
      <c r="B650" s="35"/>
      <c r="C650" s="35"/>
      <c r="D650" s="35"/>
      <c r="F650" s="66"/>
      <c r="H650" s="67"/>
      <c r="J650" s="67"/>
      <c r="K650" s="68"/>
      <c r="L650" s="67"/>
      <c r="N650" s="69"/>
      <c r="O650" s="6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</row>
    <row r="651">
      <c r="A651" s="35"/>
      <c r="B651" s="35"/>
      <c r="C651" s="35"/>
      <c r="D651" s="35"/>
      <c r="F651" s="66"/>
      <c r="H651" s="67"/>
      <c r="J651" s="67"/>
      <c r="K651" s="68"/>
      <c r="L651" s="67"/>
      <c r="N651" s="69"/>
      <c r="O651" s="6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</row>
    <row r="652">
      <c r="A652" s="35"/>
      <c r="B652" s="35"/>
      <c r="C652" s="35"/>
      <c r="D652" s="35"/>
      <c r="F652" s="66"/>
      <c r="H652" s="67"/>
      <c r="J652" s="67"/>
      <c r="K652" s="68"/>
      <c r="L652" s="67"/>
      <c r="N652" s="69"/>
      <c r="O652" s="6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</row>
    <row r="653">
      <c r="A653" s="35"/>
      <c r="B653" s="35"/>
      <c r="C653" s="35"/>
      <c r="D653" s="35"/>
      <c r="F653" s="66"/>
      <c r="H653" s="67"/>
      <c r="J653" s="67"/>
      <c r="K653" s="68"/>
      <c r="L653" s="67"/>
      <c r="N653" s="69"/>
      <c r="O653" s="6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</row>
    <row r="654">
      <c r="A654" s="35"/>
      <c r="B654" s="35"/>
      <c r="C654" s="35"/>
      <c r="D654" s="35"/>
      <c r="F654" s="66"/>
      <c r="H654" s="67"/>
      <c r="J654" s="67"/>
      <c r="K654" s="68"/>
      <c r="L654" s="67"/>
      <c r="N654" s="69"/>
      <c r="O654" s="6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</row>
    <row r="655">
      <c r="A655" s="35"/>
      <c r="B655" s="35"/>
      <c r="C655" s="35"/>
      <c r="D655" s="35"/>
      <c r="F655" s="66"/>
      <c r="H655" s="67"/>
      <c r="J655" s="67"/>
      <c r="K655" s="68"/>
      <c r="L655" s="67"/>
      <c r="N655" s="69"/>
      <c r="O655" s="6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</row>
    <row r="656">
      <c r="A656" s="35"/>
      <c r="B656" s="35"/>
      <c r="C656" s="35"/>
      <c r="D656" s="35"/>
      <c r="F656" s="66"/>
      <c r="H656" s="67"/>
      <c r="J656" s="67"/>
      <c r="K656" s="68"/>
      <c r="L656" s="67"/>
      <c r="N656" s="69"/>
      <c r="O656" s="6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</row>
    <row r="657">
      <c r="A657" s="35"/>
      <c r="B657" s="35"/>
      <c r="C657" s="35"/>
      <c r="D657" s="35"/>
      <c r="F657" s="66"/>
      <c r="H657" s="67"/>
      <c r="J657" s="67"/>
      <c r="K657" s="68"/>
      <c r="L657" s="67"/>
      <c r="N657" s="69"/>
      <c r="O657" s="6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</row>
    <row r="658">
      <c r="A658" s="35"/>
      <c r="B658" s="35"/>
      <c r="C658" s="35"/>
      <c r="D658" s="35"/>
      <c r="F658" s="66"/>
      <c r="H658" s="67"/>
      <c r="J658" s="67"/>
      <c r="K658" s="68"/>
      <c r="L658" s="67"/>
      <c r="N658" s="69"/>
      <c r="O658" s="6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</row>
    <row r="659">
      <c r="A659" s="35"/>
      <c r="B659" s="35"/>
      <c r="C659" s="35"/>
      <c r="D659" s="35"/>
      <c r="F659" s="66"/>
      <c r="H659" s="67"/>
      <c r="J659" s="67"/>
      <c r="K659" s="68"/>
      <c r="L659" s="67"/>
      <c r="N659" s="69"/>
      <c r="O659" s="6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</row>
    <row r="660">
      <c r="A660" s="35"/>
      <c r="B660" s="35"/>
      <c r="C660" s="35"/>
      <c r="D660" s="35"/>
      <c r="F660" s="66"/>
      <c r="H660" s="67"/>
      <c r="J660" s="67"/>
      <c r="K660" s="68"/>
      <c r="L660" s="67"/>
      <c r="N660" s="69"/>
      <c r="O660" s="6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</row>
    <row r="661">
      <c r="A661" s="35"/>
      <c r="B661" s="35"/>
      <c r="C661" s="35"/>
      <c r="D661" s="35"/>
      <c r="F661" s="66"/>
      <c r="H661" s="67"/>
      <c r="J661" s="67"/>
      <c r="K661" s="68"/>
      <c r="L661" s="67"/>
      <c r="N661" s="69"/>
      <c r="O661" s="6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</row>
    <row r="662">
      <c r="A662" s="35"/>
      <c r="B662" s="35"/>
      <c r="C662" s="35"/>
      <c r="D662" s="35"/>
      <c r="F662" s="66"/>
      <c r="H662" s="67"/>
      <c r="J662" s="67"/>
      <c r="K662" s="68"/>
      <c r="L662" s="67"/>
      <c r="N662" s="69"/>
      <c r="O662" s="6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</row>
    <row r="663">
      <c r="A663" s="35"/>
      <c r="B663" s="35"/>
      <c r="C663" s="35"/>
      <c r="D663" s="35"/>
      <c r="F663" s="66"/>
      <c r="H663" s="67"/>
      <c r="J663" s="67"/>
      <c r="K663" s="68"/>
      <c r="L663" s="67"/>
      <c r="N663" s="69"/>
      <c r="O663" s="6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</row>
    <row r="664">
      <c r="A664" s="35"/>
      <c r="B664" s="35"/>
      <c r="C664" s="35"/>
      <c r="D664" s="35"/>
      <c r="F664" s="66"/>
      <c r="H664" s="67"/>
      <c r="J664" s="67"/>
      <c r="K664" s="68"/>
      <c r="L664" s="67"/>
      <c r="N664" s="69"/>
      <c r="O664" s="6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</row>
    <row r="665">
      <c r="A665" s="35"/>
      <c r="B665" s="35"/>
      <c r="C665" s="35"/>
      <c r="D665" s="35"/>
      <c r="F665" s="66"/>
      <c r="H665" s="67"/>
      <c r="J665" s="67"/>
      <c r="K665" s="68"/>
      <c r="L665" s="67"/>
      <c r="N665" s="69"/>
      <c r="O665" s="6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</row>
    <row r="666">
      <c r="A666" s="35"/>
      <c r="B666" s="35"/>
      <c r="C666" s="35"/>
      <c r="D666" s="35"/>
      <c r="F666" s="66"/>
      <c r="H666" s="67"/>
      <c r="J666" s="67"/>
      <c r="K666" s="68"/>
      <c r="L666" s="67"/>
      <c r="N666" s="69"/>
      <c r="O666" s="6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</row>
    <row r="667">
      <c r="A667" s="35"/>
      <c r="B667" s="35"/>
      <c r="C667" s="35"/>
      <c r="D667" s="35"/>
      <c r="F667" s="66"/>
      <c r="H667" s="67"/>
      <c r="J667" s="67"/>
      <c r="K667" s="68"/>
      <c r="L667" s="67"/>
      <c r="N667" s="69"/>
      <c r="O667" s="6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</row>
    <row r="668">
      <c r="A668" s="35"/>
      <c r="B668" s="35"/>
      <c r="C668" s="35"/>
      <c r="D668" s="35"/>
      <c r="F668" s="66"/>
      <c r="H668" s="67"/>
      <c r="J668" s="67"/>
      <c r="K668" s="68"/>
      <c r="L668" s="67"/>
      <c r="N668" s="69"/>
      <c r="O668" s="6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</row>
    <row r="669">
      <c r="A669" s="35"/>
      <c r="B669" s="35"/>
      <c r="C669" s="35"/>
      <c r="D669" s="35"/>
      <c r="F669" s="66"/>
      <c r="H669" s="67"/>
      <c r="J669" s="67"/>
      <c r="K669" s="68"/>
      <c r="L669" s="67"/>
      <c r="N669" s="69"/>
      <c r="O669" s="6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</row>
    <row r="670">
      <c r="A670" s="35"/>
      <c r="B670" s="35"/>
      <c r="C670" s="35"/>
      <c r="D670" s="35"/>
      <c r="F670" s="66"/>
      <c r="H670" s="67"/>
      <c r="J670" s="67"/>
      <c r="K670" s="68"/>
      <c r="L670" s="67"/>
      <c r="N670" s="69"/>
      <c r="O670" s="6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</row>
    <row r="671">
      <c r="A671" s="35"/>
      <c r="B671" s="35"/>
      <c r="C671" s="35"/>
      <c r="D671" s="35"/>
      <c r="F671" s="66"/>
      <c r="H671" s="67"/>
      <c r="J671" s="67"/>
      <c r="K671" s="68"/>
      <c r="L671" s="67"/>
      <c r="N671" s="69"/>
      <c r="O671" s="6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</row>
    <row r="672">
      <c r="A672" s="35"/>
      <c r="B672" s="35"/>
      <c r="C672" s="35"/>
      <c r="D672" s="35"/>
      <c r="F672" s="66"/>
      <c r="H672" s="67"/>
      <c r="J672" s="67"/>
      <c r="K672" s="68"/>
      <c r="L672" s="67"/>
      <c r="N672" s="69"/>
      <c r="O672" s="6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</row>
    <row r="673">
      <c r="A673" s="35"/>
      <c r="B673" s="35"/>
      <c r="C673" s="35"/>
      <c r="D673" s="35"/>
      <c r="F673" s="66"/>
      <c r="H673" s="67"/>
      <c r="J673" s="67"/>
      <c r="K673" s="68"/>
      <c r="L673" s="67"/>
      <c r="N673" s="69"/>
      <c r="O673" s="6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</row>
    <row r="674">
      <c r="A674" s="35"/>
      <c r="B674" s="35"/>
      <c r="C674" s="35"/>
      <c r="D674" s="35"/>
      <c r="F674" s="66"/>
      <c r="H674" s="67"/>
      <c r="J674" s="67"/>
      <c r="K674" s="68"/>
      <c r="L674" s="67"/>
      <c r="N674" s="69"/>
      <c r="O674" s="6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</row>
    <row r="675">
      <c r="A675" s="35"/>
      <c r="B675" s="35"/>
      <c r="C675" s="35"/>
      <c r="D675" s="35"/>
      <c r="F675" s="66"/>
      <c r="H675" s="67"/>
      <c r="J675" s="67"/>
      <c r="K675" s="68"/>
      <c r="L675" s="67"/>
      <c r="N675" s="69"/>
      <c r="O675" s="6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</row>
    <row r="676">
      <c r="A676" s="35"/>
      <c r="B676" s="35"/>
      <c r="C676" s="35"/>
      <c r="D676" s="35"/>
      <c r="F676" s="66"/>
      <c r="H676" s="67"/>
      <c r="J676" s="67"/>
      <c r="K676" s="68"/>
      <c r="L676" s="67"/>
      <c r="N676" s="69"/>
      <c r="O676" s="6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</row>
    <row r="677">
      <c r="A677" s="35"/>
      <c r="B677" s="35"/>
      <c r="C677" s="35"/>
      <c r="D677" s="35"/>
      <c r="F677" s="66"/>
      <c r="H677" s="67"/>
      <c r="J677" s="67"/>
      <c r="K677" s="68"/>
      <c r="L677" s="67"/>
      <c r="N677" s="69"/>
      <c r="O677" s="6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</row>
    <row r="678">
      <c r="A678" s="35"/>
      <c r="B678" s="35"/>
      <c r="C678" s="35"/>
      <c r="D678" s="35"/>
      <c r="F678" s="66"/>
      <c r="H678" s="67"/>
      <c r="J678" s="67"/>
      <c r="K678" s="68"/>
      <c r="L678" s="67"/>
      <c r="N678" s="69"/>
      <c r="O678" s="6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</row>
    <row r="679">
      <c r="A679" s="35"/>
      <c r="B679" s="35"/>
      <c r="C679" s="35"/>
      <c r="D679" s="35"/>
      <c r="F679" s="66"/>
      <c r="H679" s="67"/>
      <c r="J679" s="67"/>
      <c r="K679" s="68"/>
      <c r="L679" s="67"/>
      <c r="N679" s="69"/>
      <c r="O679" s="6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</row>
    <row r="680">
      <c r="A680" s="35"/>
      <c r="B680" s="35"/>
      <c r="C680" s="35"/>
      <c r="D680" s="35"/>
      <c r="F680" s="66"/>
      <c r="H680" s="67"/>
      <c r="J680" s="67"/>
      <c r="K680" s="68"/>
      <c r="L680" s="67"/>
      <c r="N680" s="69"/>
      <c r="O680" s="6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</row>
    <row r="681">
      <c r="A681" s="35"/>
      <c r="B681" s="35"/>
      <c r="C681" s="35"/>
      <c r="D681" s="35"/>
      <c r="F681" s="66"/>
      <c r="H681" s="67"/>
      <c r="J681" s="67"/>
      <c r="K681" s="68"/>
      <c r="L681" s="67"/>
      <c r="N681" s="69"/>
      <c r="O681" s="6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</row>
    <row r="682">
      <c r="A682" s="35"/>
      <c r="B682" s="35"/>
      <c r="C682" s="35"/>
      <c r="D682" s="35"/>
      <c r="F682" s="66"/>
      <c r="H682" s="67"/>
      <c r="J682" s="67"/>
      <c r="K682" s="68"/>
      <c r="L682" s="67"/>
      <c r="N682" s="69"/>
      <c r="O682" s="6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</row>
    <row r="683">
      <c r="A683" s="35"/>
      <c r="B683" s="35"/>
      <c r="C683" s="35"/>
      <c r="D683" s="35"/>
      <c r="F683" s="66"/>
      <c r="H683" s="67"/>
      <c r="J683" s="67"/>
      <c r="K683" s="68"/>
      <c r="L683" s="67"/>
      <c r="N683" s="69"/>
      <c r="O683" s="6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</row>
    <row r="684">
      <c r="A684" s="35"/>
      <c r="B684" s="35"/>
      <c r="C684" s="35"/>
      <c r="D684" s="35"/>
      <c r="F684" s="66"/>
      <c r="H684" s="67"/>
      <c r="J684" s="67"/>
      <c r="K684" s="68"/>
      <c r="L684" s="67"/>
      <c r="N684" s="69"/>
      <c r="O684" s="6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</row>
    <row r="685">
      <c r="A685" s="35"/>
      <c r="B685" s="35"/>
      <c r="C685" s="35"/>
      <c r="D685" s="35"/>
      <c r="F685" s="66"/>
      <c r="H685" s="67"/>
      <c r="J685" s="67"/>
      <c r="K685" s="68"/>
      <c r="L685" s="67"/>
      <c r="N685" s="69"/>
      <c r="O685" s="6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</row>
    <row r="686">
      <c r="A686" s="35"/>
      <c r="B686" s="35"/>
      <c r="C686" s="35"/>
      <c r="D686" s="35"/>
      <c r="F686" s="66"/>
      <c r="H686" s="67"/>
      <c r="J686" s="67"/>
      <c r="K686" s="68"/>
      <c r="L686" s="67"/>
      <c r="N686" s="69"/>
      <c r="O686" s="6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</row>
    <row r="687">
      <c r="A687" s="35"/>
      <c r="B687" s="35"/>
      <c r="C687" s="35"/>
      <c r="D687" s="35"/>
      <c r="F687" s="66"/>
      <c r="H687" s="67"/>
      <c r="J687" s="67"/>
      <c r="K687" s="68"/>
      <c r="L687" s="67"/>
      <c r="N687" s="69"/>
      <c r="O687" s="6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</row>
    <row r="688">
      <c r="A688" s="35"/>
      <c r="B688" s="35"/>
      <c r="C688" s="35"/>
      <c r="D688" s="35"/>
      <c r="F688" s="66"/>
      <c r="H688" s="67"/>
      <c r="J688" s="67"/>
      <c r="K688" s="68"/>
      <c r="L688" s="67"/>
      <c r="N688" s="69"/>
      <c r="O688" s="6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</row>
    <row r="689">
      <c r="A689" s="35"/>
      <c r="B689" s="35"/>
      <c r="C689" s="35"/>
      <c r="D689" s="35"/>
      <c r="F689" s="66"/>
      <c r="H689" s="67"/>
      <c r="J689" s="67"/>
      <c r="K689" s="68"/>
      <c r="L689" s="67"/>
      <c r="N689" s="69"/>
      <c r="O689" s="6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</row>
    <row r="690">
      <c r="A690" s="35"/>
      <c r="B690" s="35"/>
      <c r="C690" s="35"/>
      <c r="D690" s="35"/>
      <c r="F690" s="66"/>
      <c r="H690" s="67"/>
      <c r="J690" s="67"/>
      <c r="K690" s="68"/>
      <c r="L690" s="67"/>
      <c r="N690" s="69"/>
      <c r="O690" s="6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</row>
    <row r="691">
      <c r="A691" s="35"/>
      <c r="B691" s="35"/>
      <c r="C691" s="35"/>
      <c r="D691" s="35"/>
      <c r="F691" s="66"/>
      <c r="H691" s="67"/>
      <c r="J691" s="67"/>
      <c r="K691" s="68"/>
      <c r="L691" s="67"/>
      <c r="N691" s="69"/>
      <c r="O691" s="6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</row>
    <row r="692">
      <c r="A692" s="35"/>
      <c r="B692" s="35"/>
      <c r="C692" s="35"/>
      <c r="D692" s="35"/>
      <c r="F692" s="66"/>
      <c r="H692" s="67"/>
      <c r="J692" s="67"/>
      <c r="K692" s="68"/>
      <c r="L692" s="67"/>
      <c r="N692" s="69"/>
      <c r="O692" s="6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</row>
    <row r="693">
      <c r="A693" s="35"/>
      <c r="B693" s="35"/>
      <c r="C693" s="35"/>
      <c r="D693" s="35"/>
      <c r="F693" s="66"/>
      <c r="H693" s="67"/>
      <c r="J693" s="67"/>
      <c r="K693" s="68"/>
      <c r="L693" s="67"/>
      <c r="N693" s="69"/>
      <c r="O693" s="6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</row>
    <row r="694">
      <c r="A694" s="35"/>
      <c r="B694" s="35"/>
      <c r="C694" s="35"/>
      <c r="D694" s="35"/>
      <c r="F694" s="66"/>
      <c r="H694" s="67"/>
      <c r="J694" s="67"/>
      <c r="K694" s="68"/>
      <c r="L694" s="67"/>
      <c r="N694" s="69"/>
      <c r="O694" s="6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</row>
    <row r="695">
      <c r="A695" s="35"/>
      <c r="B695" s="35"/>
      <c r="C695" s="35"/>
      <c r="D695" s="35"/>
      <c r="F695" s="66"/>
      <c r="H695" s="67"/>
      <c r="J695" s="67"/>
      <c r="K695" s="68"/>
      <c r="L695" s="67"/>
      <c r="N695" s="69"/>
      <c r="O695" s="6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</row>
    <row r="696">
      <c r="A696" s="35"/>
      <c r="B696" s="35"/>
      <c r="C696" s="35"/>
      <c r="D696" s="35"/>
      <c r="F696" s="66"/>
      <c r="H696" s="67"/>
      <c r="J696" s="67"/>
      <c r="K696" s="68"/>
      <c r="L696" s="67"/>
      <c r="N696" s="69"/>
      <c r="O696" s="6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</row>
    <row r="697">
      <c r="A697" s="35"/>
      <c r="B697" s="35"/>
      <c r="C697" s="35"/>
      <c r="D697" s="35"/>
      <c r="F697" s="66"/>
      <c r="H697" s="67"/>
      <c r="J697" s="67"/>
      <c r="K697" s="68"/>
      <c r="L697" s="67"/>
      <c r="N697" s="69"/>
      <c r="O697" s="6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</row>
    <row r="698">
      <c r="A698" s="35"/>
      <c r="B698" s="35"/>
      <c r="C698" s="35"/>
      <c r="D698" s="35"/>
      <c r="F698" s="66"/>
      <c r="H698" s="67"/>
      <c r="J698" s="67"/>
      <c r="K698" s="68"/>
      <c r="L698" s="67"/>
      <c r="N698" s="69"/>
      <c r="O698" s="6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</row>
    <row r="699">
      <c r="A699" s="35"/>
      <c r="B699" s="35"/>
      <c r="C699" s="35"/>
      <c r="D699" s="35"/>
      <c r="F699" s="66"/>
      <c r="H699" s="67"/>
      <c r="J699" s="67"/>
      <c r="K699" s="68"/>
      <c r="L699" s="67"/>
      <c r="N699" s="69"/>
      <c r="O699" s="6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</row>
    <row r="700">
      <c r="A700" s="35"/>
      <c r="B700" s="35"/>
      <c r="C700" s="35"/>
      <c r="D700" s="35"/>
      <c r="F700" s="66"/>
      <c r="H700" s="67"/>
      <c r="J700" s="67"/>
      <c r="K700" s="68"/>
      <c r="L700" s="67"/>
      <c r="N700" s="69"/>
      <c r="O700" s="6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</row>
    <row r="701">
      <c r="A701" s="35"/>
      <c r="B701" s="35"/>
      <c r="C701" s="35"/>
      <c r="D701" s="35"/>
      <c r="F701" s="66"/>
      <c r="H701" s="67"/>
      <c r="J701" s="67"/>
      <c r="K701" s="68"/>
      <c r="L701" s="67"/>
      <c r="N701" s="69"/>
      <c r="O701" s="6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</row>
    <row r="702">
      <c r="A702" s="35"/>
      <c r="B702" s="35"/>
      <c r="C702" s="35"/>
      <c r="D702" s="35"/>
      <c r="F702" s="66"/>
      <c r="H702" s="67"/>
      <c r="J702" s="67"/>
      <c r="K702" s="68"/>
      <c r="L702" s="67"/>
      <c r="N702" s="69"/>
      <c r="O702" s="6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</row>
    <row r="703">
      <c r="A703" s="35"/>
      <c r="B703" s="35"/>
      <c r="C703" s="35"/>
      <c r="D703" s="35"/>
      <c r="F703" s="66"/>
      <c r="H703" s="67"/>
      <c r="J703" s="67"/>
      <c r="K703" s="68"/>
      <c r="L703" s="67"/>
      <c r="N703" s="69"/>
      <c r="O703" s="6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</row>
    <row r="704">
      <c r="A704" s="35"/>
      <c r="B704" s="35"/>
      <c r="C704" s="35"/>
      <c r="D704" s="35"/>
      <c r="F704" s="66"/>
      <c r="H704" s="67"/>
      <c r="J704" s="67"/>
      <c r="K704" s="68"/>
      <c r="L704" s="67"/>
      <c r="N704" s="69"/>
      <c r="O704" s="6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</row>
    <row r="705">
      <c r="A705" s="35"/>
      <c r="B705" s="35"/>
      <c r="C705" s="35"/>
      <c r="D705" s="35"/>
      <c r="F705" s="66"/>
      <c r="H705" s="67"/>
      <c r="J705" s="67"/>
      <c r="K705" s="68"/>
      <c r="L705" s="67"/>
      <c r="N705" s="69"/>
      <c r="O705" s="6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</row>
    <row r="706">
      <c r="A706" s="35"/>
      <c r="B706" s="35"/>
      <c r="C706" s="35"/>
      <c r="D706" s="35"/>
      <c r="F706" s="66"/>
      <c r="H706" s="67"/>
      <c r="J706" s="67"/>
      <c r="K706" s="68"/>
      <c r="L706" s="67"/>
      <c r="N706" s="69"/>
      <c r="O706" s="6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</row>
    <row r="707">
      <c r="A707" s="35"/>
      <c r="B707" s="35"/>
      <c r="C707" s="35"/>
      <c r="D707" s="35"/>
      <c r="F707" s="66"/>
      <c r="H707" s="67"/>
      <c r="J707" s="67"/>
      <c r="K707" s="68"/>
      <c r="L707" s="67"/>
      <c r="N707" s="69"/>
      <c r="O707" s="6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</row>
    <row r="708">
      <c r="A708" s="35"/>
      <c r="B708" s="35"/>
      <c r="C708" s="35"/>
      <c r="D708" s="35"/>
      <c r="F708" s="66"/>
      <c r="H708" s="67"/>
      <c r="J708" s="67"/>
      <c r="K708" s="68"/>
      <c r="L708" s="67"/>
      <c r="N708" s="69"/>
      <c r="O708" s="6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</row>
    <row r="709">
      <c r="A709" s="35"/>
      <c r="B709" s="35"/>
      <c r="C709" s="35"/>
      <c r="D709" s="35"/>
      <c r="F709" s="66"/>
      <c r="H709" s="67"/>
      <c r="J709" s="67"/>
      <c r="K709" s="68"/>
      <c r="L709" s="67"/>
      <c r="N709" s="69"/>
      <c r="O709" s="6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</row>
    <row r="710">
      <c r="A710" s="35"/>
      <c r="B710" s="35"/>
      <c r="C710" s="35"/>
      <c r="D710" s="35"/>
      <c r="F710" s="66"/>
      <c r="H710" s="67"/>
      <c r="J710" s="67"/>
      <c r="K710" s="68"/>
      <c r="L710" s="67"/>
      <c r="N710" s="69"/>
      <c r="O710" s="6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</row>
    <row r="711">
      <c r="A711" s="35"/>
      <c r="B711" s="35"/>
      <c r="C711" s="35"/>
      <c r="D711" s="35"/>
      <c r="F711" s="66"/>
      <c r="H711" s="67"/>
      <c r="J711" s="67"/>
      <c r="K711" s="68"/>
      <c r="L711" s="67"/>
      <c r="N711" s="69"/>
      <c r="O711" s="6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</row>
    <row r="712">
      <c r="A712" s="35"/>
      <c r="B712" s="35"/>
      <c r="C712" s="35"/>
      <c r="D712" s="35"/>
      <c r="F712" s="66"/>
      <c r="H712" s="67"/>
      <c r="J712" s="67"/>
      <c r="K712" s="68"/>
      <c r="L712" s="67"/>
      <c r="N712" s="69"/>
      <c r="O712" s="6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</row>
    <row r="713">
      <c r="A713" s="35"/>
      <c r="B713" s="35"/>
      <c r="C713" s="35"/>
      <c r="D713" s="35"/>
      <c r="F713" s="66"/>
      <c r="H713" s="67"/>
      <c r="J713" s="67"/>
      <c r="K713" s="68"/>
      <c r="L713" s="67"/>
      <c r="N713" s="69"/>
      <c r="O713" s="6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</row>
    <row r="714">
      <c r="A714" s="35"/>
      <c r="B714" s="35"/>
      <c r="C714" s="35"/>
      <c r="D714" s="35"/>
      <c r="F714" s="66"/>
      <c r="H714" s="67"/>
      <c r="J714" s="67"/>
      <c r="K714" s="68"/>
      <c r="L714" s="67"/>
      <c r="N714" s="69"/>
      <c r="O714" s="6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</row>
    <row r="715">
      <c r="A715" s="35"/>
      <c r="B715" s="35"/>
      <c r="C715" s="35"/>
      <c r="D715" s="35"/>
      <c r="F715" s="66"/>
      <c r="H715" s="67"/>
      <c r="J715" s="67"/>
      <c r="K715" s="68"/>
      <c r="L715" s="67"/>
      <c r="N715" s="69"/>
      <c r="O715" s="6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</row>
    <row r="716">
      <c r="A716" s="35"/>
      <c r="B716" s="35"/>
      <c r="C716" s="35"/>
      <c r="D716" s="35"/>
      <c r="F716" s="66"/>
      <c r="H716" s="67"/>
      <c r="J716" s="67"/>
      <c r="K716" s="68"/>
      <c r="L716" s="67"/>
      <c r="N716" s="69"/>
      <c r="O716" s="6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</row>
    <row r="717">
      <c r="A717" s="35"/>
      <c r="B717" s="35"/>
      <c r="C717" s="35"/>
      <c r="D717" s="35"/>
      <c r="F717" s="66"/>
      <c r="H717" s="67"/>
      <c r="J717" s="67"/>
      <c r="K717" s="68"/>
      <c r="L717" s="67"/>
      <c r="N717" s="69"/>
      <c r="O717" s="6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</row>
    <row r="718">
      <c r="A718" s="35"/>
      <c r="B718" s="35"/>
      <c r="C718" s="35"/>
      <c r="D718" s="35"/>
      <c r="F718" s="66"/>
      <c r="H718" s="67"/>
      <c r="J718" s="67"/>
      <c r="K718" s="68"/>
      <c r="L718" s="67"/>
      <c r="N718" s="69"/>
      <c r="O718" s="6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</row>
    <row r="719">
      <c r="A719" s="35"/>
      <c r="B719" s="35"/>
      <c r="C719" s="35"/>
      <c r="D719" s="35"/>
      <c r="F719" s="66"/>
      <c r="H719" s="67"/>
      <c r="J719" s="67"/>
      <c r="K719" s="68"/>
      <c r="L719" s="67"/>
      <c r="N719" s="69"/>
      <c r="O719" s="6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</row>
    <row r="720">
      <c r="A720" s="35"/>
      <c r="B720" s="35"/>
      <c r="C720" s="35"/>
      <c r="D720" s="35"/>
      <c r="F720" s="66"/>
      <c r="H720" s="67"/>
      <c r="J720" s="67"/>
      <c r="K720" s="68"/>
      <c r="L720" s="67"/>
      <c r="N720" s="69"/>
      <c r="O720" s="6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</row>
    <row r="721">
      <c r="A721" s="35"/>
      <c r="B721" s="35"/>
      <c r="C721" s="35"/>
      <c r="D721" s="35"/>
      <c r="F721" s="66"/>
      <c r="H721" s="67"/>
      <c r="J721" s="67"/>
      <c r="K721" s="68"/>
      <c r="L721" s="67"/>
      <c r="N721" s="69"/>
      <c r="O721" s="6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</row>
    <row r="722">
      <c r="A722" s="35"/>
      <c r="B722" s="35"/>
      <c r="C722" s="35"/>
      <c r="D722" s="35"/>
      <c r="F722" s="66"/>
      <c r="H722" s="67"/>
      <c r="J722" s="67"/>
      <c r="K722" s="68"/>
      <c r="L722" s="67"/>
      <c r="N722" s="69"/>
      <c r="O722" s="6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</row>
    <row r="723">
      <c r="A723" s="35"/>
      <c r="B723" s="35"/>
      <c r="C723" s="35"/>
      <c r="D723" s="35"/>
      <c r="F723" s="66"/>
      <c r="H723" s="67"/>
      <c r="J723" s="67"/>
      <c r="K723" s="68"/>
      <c r="L723" s="67"/>
      <c r="N723" s="69"/>
      <c r="O723" s="6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</row>
    <row r="724">
      <c r="A724" s="35"/>
      <c r="B724" s="35"/>
      <c r="C724" s="35"/>
      <c r="D724" s="35"/>
      <c r="F724" s="66"/>
      <c r="H724" s="67"/>
      <c r="J724" s="67"/>
      <c r="K724" s="68"/>
      <c r="L724" s="67"/>
      <c r="N724" s="69"/>
      <c r="O724" s="6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</row>
    <row r="725">
      <c r="A725" s="35"/>
      <c r="B725" s="35"/>
      <c r="C725" s="35"/>
      <c r="D725" s="35"/>
      <c r="F725" s="66"/>
      <c r="H725" s="67"/>
      <c r="J725" s="67"/>
      <c r="K725" s="68"/>
      <c r="L725" s="67"/>
      <c r="N725" s="69"/>
      <c r="O725" s="6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</row>
    <row r="726">
      <c r="A726" s="35"/>
      <c r="B726" s="35"/>
      <c r="C726" s="35"/>
      <c r="D726" s="35"/>
      <c r="F726" s="66"/>
      <c r="H726" s="67"/>
      <c r="J726" s="67"/>
      <c r="K726" s="68"/>
      <c r="L726" s="67"/>
      <c r="N726" s="69"/>
      <c r="O726" s="6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</row>
    <row r="727">
      <c r="A727" s="35"/>
      <c r="B727" s="35"/>
      <c r="C727" s="35"/>
      <c r="D727" s="35"/>
      <c r="F727" s="66"/>
      <c r="H727" s="67"/>
      <c r="J727" s="67"/>
      <c r="K727" s="68"/>
      <c r="L727" s="67"/>
      <c r="N727" s="69"/>
      <c r="O727" s="6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</row>
    <row r="728">
      <c r="A728" s="35"/>
      <c r="B728" s="35"/>
      <c r="C728" s="35"/>
      <c r="D728" s="35"/>
      <c r="F728" s="66"/>
      <c r="H728" s="67"/>
      <c r="J728" s="67"/>
      <c r="K728" s="68"/>
      <c r="L728" s="67"/>
      <c r="N728" s="69"/>
      <c r="O728" s="6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</row>
    <row r="729">
      <c r="A729" s="35"/>
      <c r="B729" s="35"/>
      <c r="C729" s="35"/>
      <c r="D729" s="35"/>
      <c r="F729" s="66"/>
      <c r="H729" s="67"/>
      <c r="J729" s="67"/>
      <c r="K729" s="68"/>
      <c r="L729" s="67"/>
      <c r="N729" s="69"/>
      <c r="O729" s="6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</row>
    <row r="730">
      <c r="A730" s="35"/>
      <c r="B730" s="35"/>
      <c r="C730" s="35"/>
      <c r="D730" s="35"/>
      <c r="F730" s="66"/>
      <c r="H730" s="67"/>
      <c r="J730" s="67"/>
      <c r="K730" s="68"/>
      <c r="L730" s="67"/>
      <c r="N730" s="69"/>
      <c r="O730" s="6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</row>
    <row r="731">
      <c r="A731" s="35"/>
      <c r="B731" s="35"/>
      <c r="C731" s="35"/>
      <c r="D731" s="35"/>
      <c r="F731" s="66"/>
      <c r="H731" s="67"/>
      <c r="J731" s="67"/>
      <c r="K731" s="68"/>
      <c r="L731" s="67"/>
      <c r="N731" s="69"/>
      <c r="O731" s="6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</row>
    <row r="732">
      <c r="A732" s="35"/>
      <c r="B732" s="35"/>
      <c r="C732" s="35"/>
      <c r="D732" s="35"/>
      <c r="F732" s="66"/>
      <c r="H732" s="67"/>
      <c r="J732" s="67"/>
      <c r="K732" s="68"/>
      <c r="L732" s="67"/>
      <c r="N732" s="69"/>
      <c r="O732" s="6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</row>
    <row r="733">
      <c r="A733" s="35"/>
      <c r="B733" s="35"/>
      <c r="C733" s="35"/>
      <c r="D733" s="35"/>
      <c r="F733" s="66"/>
      <c r="H733" s="67"/>
      <c r="J733" s="67"/>
      <c r="K733" s="68"/>
      <c r="L733" s="67"/>
      <c r="N733" s="69"/>
      <c r="O733" s="6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</row>
    <row r="734">
      <c r="A734" s="35"/>
      <c r="B734" s="35"/>
      <c r="C734" s="35"/>
      <c r="D734" s="35"/>
      <c r="F734" s="66"/>
      <c r="H734" s="67"/>
      <c r="J734" s="67"/>
      <c r="K734" s="68"/>
      <c r="L734" s="67"/>
      <c r="N734" s="69"/>
      <c r="O734" s="6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</row>
    <row r="735">
      <c r="A735" s="35"/>
      <c r="B735" s="35"/>
      <c r="C735" s="35"/>
      <c r="D735" s="35"/>
      <c r="F735" s="66"/>
      <c r="H735" s="67"/>
      <c r="J735" s="67"/>
      <c r="K735" s="68"/>
      <c r="L735" s="67"/>
      <c r="N735" s="69"/>
      <c r="O735" s="6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</row>
    <row r="736">
      <c r="A736" s="35"/>
      <c r="B736" s="35"/>
      <c r="C736" s="35"/>
      <c r="D736" s="35"/>
      <c r="F736" s="66"/>
      <c r="H736" s="67"/>
      <c r="J736" s="67"/>
      <c r="K736" s="68"/>
      <c r="L736" s="67"/>
      <c r="N736" s="69"/>
      <c r="O736" s="6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</row>
    <row r="737">
      <c r="A737" s="35"/>
      <c r="B737" s="35"/>
      <c r="C737" s="35"/>
      <c r="D737" s="35"/>
      <c r="F737" s="66"/>
      <c r="H737" s="67"/>
      <c r="J737" s="67"/>
      <c r="K737" s="68"/>
      <c r="L737" s="67"/>
      <c r="N737" s="69"/>
      <c r="O737" s="6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</row>
    <row r="738">
      <c r="A738" s="35"/>
      <c r="B738" s="35"/>
      <c r="C738" s="35"/>
      <c r="D738" s="35"/>
      <c r="F738" s="66"/>
      <c r="H738" s="67"/>
      <c r="J738" s="67"/>
      <c r="K738" s="68"/>
      <c r="L738" s="67"/>
      <c r="N738" s="69"/>
      <c r="O738" s="6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</row>
    <row r="739">
      <c r="A739" s="35"/>
      <c r="B739" s="35"/>
      <c r="C739" s="35"/>
      <c r="D739" s="35"/>
      <c r="F739" s="66"/>
      <c r="H739" s="67"/>
      <c r="J739" s="67"/>
      <c r="K739" s="68"/>
      <c r="L739" s="67"/>
      <c r="N739" s="69"/>
      <c r="O739" s="6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</row>
    <row r="740">
      <c r="A740" s="35"/>
      <c r="B740" s="35"/>
      <c r="C740" s="35"/>
      <c r="D740" s="35"/>
      <c r="F740" s="66"/>
      <c r="H740" s="67"/>
      <c r="J740" s="67"/>
      <c r="K740" s="68"/>
      <c r="L740" s="67"/>
      <c r="N740" s="69"/>
      <c r="O740" s="6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</row>
    <row r="741">
      <c r="A741" s="35"/>
      <c r="B741" s="35"/>
      <c r="C741" s="35"/>
      <c r="D741" s="35"/>
      <c r="F741" s="66"/>
      <c r="H741" s="67"/>
      <c r="J741" s="67"/>
      <c r="K741" s="68"/>
      <c r="L741" s="67"/>
      <c r="N741" s="69"/>
      <c r="O741" s="6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</row>
    <row r="742">
      <c r="A742" s="35"/>
      <c r="B742" s="35"/>
      <c r="C742" s="35"/>
      <c r="D742" s="35"/>
      <c r="F742" s="66"/>
      <c r="H742" s="67"/>
      <c r="J742" s="67"/>
      <c r="K742" s="68"/>
      <c r="L742" s="67"/>
      <c r="N742" s="69"/>
      <c r="O742" s="6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</row>
    <row r="743">
      <c r="A743" s="35"/>
      <c r="B743" s="35"/>
      <c r="C743" s="35"/>
      <c r="D743" s="35"/>
      <c r="F743" s="66"/>
      <c r="H743" s="67"/>
      <c r="J743" s="67"/>
      <c r="K743" s="68"/>
      <c r="L743" s="67"/>
      <c r="N743" s="69"/>
      <c r="O743" s="6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</row>
    <row r="744">
      <c r="A744" s="35"/>
      <c r="B744" s="35"/>
      <c r="C744" s="35"/>
      <c r="D744" s="35"/>
      <c r="F744" s="66"/>
      <c r="H744" s="67"/>
      <c r="J744" s="67"/>
      <c r="K744" s="68"/>
      <c r="L744" s="67"/>
      <c r="N744" s="69"/>
      <c r="O744" s="6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</row>
    <row r="745">
      <c r="A745" s="35"/>
      <c r="B745" s="35"/>
      <c r="C745" s="35"/>
      <c r="D745" s="35"/>
      <c r="F745" s="66"/>
      <c r="H745" s="67"/>
      <c r="J745" s="67"/>
      <c r="K745" s="68"/>
      <c r="L745" s="67"/>
      <c r="N745" s="69"/>
      <c r="O745" s="6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</row>
    <row r="746">
      <c r="A746" s="35"/>
      <c r="B746" s="35"/>
      <c r="C746" s="35"/>
      <c r="D746" s="35"/>
      <c r="F746" s="66"/>
      <c r="H746" s="67"/>
      <c r="J746" s="67"/>
      <c r="K746" s="68"/>
      <c r="L746" s="67"/>
      <c r="N746" s="69"/>
      <c r="O746" s="6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</row>
    <row r="747">
      <c r="A747" s="35"/>
      <c r="B747" s="35"/>
      <c r="C747" s="35"/>
      <c r="D747" s="35"/>
      <c r="F747" s="66"/>
      <c r="H747" s="67"/>
      <c r="J747" s="67"/>
      <c r="K747" s="68"/>
      <c r="L747" s="67"/>
      <c r="N747" s="69"/>
      <c r="O747" s="6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</row>
    <row r="748">
      <c r="A748" s="35"/>
      <c r="B748" s="35"/>
      <c r="C748" s="35"/>
      <c r="D748" s="35"/>
      <c r="F748" s="66"/>
      <c r="H748" s="67"/>
      <c r="J748" s="67"/>
      <c r="K748" s="68"/>
      <c r="L748" s="67"/>
      <c r="N748" s="69"/>
      <c r="O748" s="6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</row>
    <row r="749">
      <c r="A749" s="35"/>
      <c r="B749" s="35"/>
      <c r="C749" s="35"/>
      <c r="D749" s="35"/>
      <c r="F749" s="66"/>
      <c r="H749" s="67"/>
      <c r="J749" s="67"/>
      <c r="K749" s="68"/>
      <c r="L749" s="67"/>
      <c r="N749" s="69"/>
      <c r="O749" s="6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</row>
    <row r="750">
      <c r="A750" s="35"/>
      <c r="B750" s="35"/>
      <c r="C750" s="35"/>
      <c r="D750" s="35"/>
      <c r="F750" s="66"/>
      <c r="H750" s="67"/>
      <c r="J750" s="67"/>
      <c r="K750" s="68"/>
      <c r="L750" s="67"/>
      <c r="N750" s="69"/>
      <c r="O750" s="6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</row>
    <row r="751">
      <c r="A751" s="35"/>
      <c r="B751" s="35"/>
      <c r="C751" s="35"/>
      <c r="D751" s="35"/>
      <c r="F751" s="66"/>
      <c r="H751" s="67"/>
      <c r="J751" s="67"/>
      <c r="K751" s="68"/>
      <c r="L751" s="67"/>
      <c r="N751" s="69"/>
      <c r="O751" s="6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</row>
    <row r="752">
      <c r="A752" s="35"/>
      <c r="B752" s="35"/>
      <c r="C752" s="35"/>
      <c r="D752" s="35"/>
      <c r="F752" s="66"/>
      <c r="H752" s="67"/>
      <c r="J752" s="67"/>
      <c r="K752" s="68"/>
      <c r="L752" s="67"/>
      <c r="N752" s="69"/>
      <c r="O752" s="6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</row>
    <row r="753">
      <c r="A753" s="35"/>
      <c r="B753" s="35"/>
      <c r="C753" s="35"/>
      <c r="D753" s="35"/>
      <c r="F753" s="66"/>
      <c r="H753" s="67"/>
      <c r="J753" s="67"/>
      <c r="K753" s="68"/>
      <c r="L753" s="67"/>
      <c r="N753" s="69"/>
      <c r="O753" s="6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</row>
    <row r="754">
      <c r="A754" s="35"/>
      <c r="B754" s="35"/>
      <c r="C754" s="35"/>
      <c r="D754" s="35"/>
      <c r="F754" s="66"/>
      <c r="H754" s="67"/>
      <c r="J754" s="67"/>
      <c r="K754" s="68"/>
      <c r="L754" s="67"/>
      <c r="N754" s="69"/>
      <c r="O754" s="6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</row>
    <row r="755">
      <c r="A755" s="35"/>
      <c r="B755" s="35"/>
      <c r="C755" s="35"/>
      <c r="D755" s="35"/>
      <c r="F755" s="66"/>
      <c r="H755" s="67"/>
      <c r="J755" s="67"/>
      <c r="K755" s="68"/>
      <c r="L755" s="67"/>
      <c r="N755" s="69"/>
      <c r="O755" s="6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</row>
    <row r="756">
      <c r="A756" s="35"/>
      <c r="B756" s="35"/>
      <c r="C756" s="35"/>
      <c r="D756" s="35"/>
      <c r="F756" s="66"/>
      <c r="H756" s="67"/>
      <c r="J756" s="67"/>
      <c r="K756" s="68"/>
      <c r="L756" s="67"/>
      <c r="N756" s="69"/>
      <c r="O756" s="6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</row>
    <row r="757">
      <c r="A757" s="35"/>
      <c r="B757" s="35"/>
      <c r="C757" s="35"/>
      <c r="D757" s="35"/>
      <c r="F757" s="66"/>
      <c r="H757" s="67"/>
      <c r="J757" s="67"/>
      <c r="K757" s="68"/>
      <c r="L757" s="67"/>
      <c r="N757" s="69"/>
      <c r="O757" s="6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</row>
    <row r="758">
      <c r="A758" s="35"/>
      <c r="B758" s="35"/>
      <c r="C758" s="35"/>
      <c r="D758" s="35"/>
      <c r="F758" s="66"/>
      <c r="H758" s="67"/>
      <c r="J758" s="67"/>
      <c r="K758" s="68"/>
      <c r="L758" s="67"/>
      <c r="N758" s="69"/>
      <c r="O758" s="6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</row>
    <row r="759">
      <c r="A759" s="35"/>
      <c r="B759" s="35"/>
      <c r="C759" s="35"/>
      <c r="D759" s="35"/>
      <c r="F759" s="66"/>
      <c r="H759" s="67"/>
      <c r="J759" s="67"/>
      <c r="K759" s="68"/>
      <c r="L759" s="67"/>
      <c r="N759" s="69"/>
      <c r="O759" s="6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</row>
    <row r="760">
      <c r="A760" s="35"/>
      <c r="B760" s="35"/>
      <c r="C760" s="35"/>
      <c r="D760" s="35"/>
      <c r="F760" s="66"/>
      <c r="H760" s="67"/>
      <c r="J760" s="67"/>
      <c r="K760" s="68"/>
      <c r="L760" s="67"/>
      <c r="N760" s="69"/>
      <c r="O760" s="6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</row>
    <row r="761">
      <c r="A761" s="35"/>
      <c r="B761" s="35"/>
      <c r="C761" s="35"/>
      <c r="D761" s="35"/>
      <c r="F761" s="66"/>
      <c r="H761" s="67"/>
      <c r="J761" s="67"/>
      <c r="K761" s="68"/>
      <c r="L761" s="67"/>
      <c r="N761" s="69"/>
      <c r="O761" s="6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</row>
    <row r="762">
      <c r="A762" s="35"/>
      <c r="B762" s="35"/>
      <c r="C762" s="35"/>
      <c r="D762" s="35"/>
      <c r="F762" s="66"/>
      <c r="H762" s="67"/>
      <c r="J762" s="67"/>
      <c r="K762" s="68"/>
      <c r="L762" s="67"/>
      <c r="N762" s="69"/>
      <c r="O762" s="6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</row>
    <row r="763">
      <c r="A763" s="35"/>
      <c r="B763" s="35"/>
      <c r="C763" s="35"/>
      <c r="D763" s="35"/>
      <c r="F763" s="66"/>
      <c r="H763" s="67"/>
      <c r="J763" s="67"/>
      <c r="K763" s="68"/>
      <c r="L763" s="67"/>
      <c r="N763" s="69"/>
      <c r="O763" s="6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</row>
    <row r="764">
      <c r="A764" s="35"/>
      <c r="B764" s="35"/>
      <c r="C764" s="35"/>
      <c r="D764" s="35"/>
      <c r="F764" s="66"/>
      <c r="H764" s="67"/>
      <c r="J764" s="67"/>
      <c r="K764" s="68"/>
      <c r="L764" s="67"/>
      <c r="N764" s="69"/>
      <c r="O764" s="6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</row>
    <row r="765">
      <c r="A765" s="35"/>
      <c r="B765" s="35"/>
      <c r="C765" s="35"/>
      <c r="D765" s="35"/>
      <c r="F765" s="66"/>
      <c r="H765" s="67"/>
      <c r="J765" s="67"/>
      <c r="K765" s="68"/>
      <c r="L765" s="67"/>
      <c r="N765" s="69"/>
      <c r="O765" s="6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</row>
    <row r="766">
      <c r="A766" s="35"/>
      <c r="B766" s="35"/>
      <c r="C766" s="35"/>
      <c r="D766" s="35"/>
      <c r="F766" s="66"/>
      <c r="H766" s="67"/>
      <c r="J766" s="67"/>
      <c r="K766" s="68"/>
      <c r="L766" s="67"/>
      <c r="N766" s="69"/>
      <c r="O766" s="6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</row>
    <row r="767">
      <c r="A767" s="35"/>
      <c r="B767" s="35"/>
      <c r="C767" s="35"/>
      <c r="D767" s="35"/>
      <c r="F767" s="66"/>
      <c r="H767" s="67"/>
      <c r="J767" s="67"/>
      <c r="K767" s="68"/>
      <c r="L767" s="67"/>
      <c r="N767" s="69"/>
      <c r="O767" s="6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</row>
    <row r="768">
      <c r="A768" s="35"/>
      <c r="B768" s="35"/>
      <c r="C768" s="35"/>
      <c r="D768" s="35"/>
      <c r="F768" s="66"/>
      <c r="H768" s="67"/>
      <c r="J768" s="67"/>
      <c r="K768" s="68"/>
      <c r="L768" s="67"/>
      <c r="N768" s="69"/>
      <c r="O768" s="6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</row>
    <row r="769">
      <c r="A769" s="35"/>
      <c r="B769" s="35"/>
      <c r="C769" s="35"/>
      <c r="D769" s="35"/>
      <c r="F769" s="66"/>
      <c r="H769" s="67"/>
      <c r="J769" s="67"/>
      <c r="K769" s="68"/>
      <c r="L769" s="67"/>
      <c r="N769" s="69"/>
      <c r="O769" s="6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</row>
    <row r="770">
      <c r="A770" s="35"/>
      <c r="B770" s="35"/>
      <c r="C770" s="35"/>
      <c r="D770" s="35"/>
      <c r="F770" s="66"/>
      <c r="H770" s="67"/>
      <c r="J770" s="67"/>
      <c r="K770" s="68"/>
      <c r="L770" s="67"/>
      <c r="N770" s="69"/>
      <c r="O770" s="6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</row>
    <row r="771">
      <c r="A771" s="35"/>
      <c r="B771" s="35"/>
      <c r="C771" s="35"/>
      <c r="D771" s="35"/>
      <c r="F771" s="66"/>
      <c r="H771" s="67"/>
      <c r="J771" s="67"/>
      <c r="K771" s="68"/>
      <c r="L771" s="67"/>
      <c r="N771" s="69"/>
      <c r="O771" s="6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</row>
    <row r="772">
      <c r="A772" s="35"/>
      <c r="B772" s="35"/>
      <c r="C772" s="35"/>
      <c r="D772" s="35"/>
      <c r="F772" s="66"/>
      <c r="H772" s="67"/>
      <c r="J772" s="67"/>
      <c r="K772" s="68"/>
      <c r="L772" s="67"/>
      <c r="N772" s="69"/>
      <c r="O772" s="6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</row>
    <row r="773">
      <c r="A773" s="35"/>
      <c r="B773" s="35"/>
      <c r="C773" s="35"/>
      <c r="D773" s="35"/>
      <c r="F773" s="66"/>
      <c r="H773" s="67"/>
      <c r="J773" s="67"/>
      <c r="K773" s="68"/>
      <c r="L773" s="67"/>
      <c r="N773" s="69"/>
      <c r="O773" s="6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</row>
    <row r="774">
      <c r="A774" s="35"/>
      <c r="B774" s="35"/>
      <c r="C774" s="35"/>
      <c r="D774" s="35"/>
      <c r="F774" s="66"/>
      <c r="H774" s="67"/>
      <c r="J774" s="67"/>
      <c r="K774" s="68"/>
      <c r="L774" s="67"/>
      <c r="N774" s="69"/>
      <c r="O774" s="6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</row>
    <row r="775">
      <c r="A775" s="35"/>
      <c r="B775" s="35"/>
      <c r="C775" s="35"/>
      <c r="D775" s="35"/>
      <c r="F775" s="66"/>
      <c r="H775" s="67"/>
      <c r="J775" s="67"/>
      <c r="K775" s="68"/>
      <c r="L775" s="67"/>
      <c r="N775" s="69"/>
      <c r="O775" s="6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</row>
    <row r="776">
      <c r="A776" s="35"/>
      <c r="B776" s="35"/>
      <c r="C776" s="35"/>
      <c r="D776" s="35"/>
      <c r="F776" s="66"/>
      <c r="H776" s="67"/>
      <c r="J776" s="67"/>
      <c r="K776" s="68"/>
      <c r="L776" s="67"/>
      <c r="N776" s="69"/>
      <c r="O776" s="6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</row>
    <row r="777">
      <c r="A777" s="35"/>
      <c r="B777" s="35"/>
      <c r="C777" s="35"/>
      <c r="D777" s="35"/>
      <c r="F777" s="66"/>
      <c r="H777" s="67"/>
      <c r="J777" s="67"/>
      <c r="K777" s="68"/>
      <c r="L777" s="67"/>
      <c r="N777" s="69"/>
      <c r="O777" s="6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</row>
    <row r="778">
      <c r="A778" s="35"/>
      <c r="B778" s="35"/>
      <c r="C778" s="35"/>
      <c r="D778" s="35"/>
      <c r="F778" s="66"/>
      <c r="H778" s="67"/>
      <c r="J778" s="67"/>
      <c r="K778" s="68"/>
      <c r="L778" s="67"/>
      <c r="N778" s="69"/>
      <c r="O778" s="6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</row>
    <row r="779">
      <c r="A779" s="35"/>
      <c r="B779" s="35"/>
      <c r="C779" s="35"/>
      <c r="D779" s="35"/>
      <c r="F779" s="66"/>
      <c r="H779" s="67"/>
      <c r="J779" s="67"/>
      <c r="K779" s="68"/>
      <c r="L779" s="67"/>
      <c r="N779" s="69"/>
      <c r="O779" s="6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</row>
    <row r="780">
      <c r="A780" s="35"/>
      <c r="B780" s="35"/>
      <c r="C780" s="35"/>
      <c r="D780" s="35"/>
      <c r="F780" s="66"/>
      <c r="H780" s="67"/>
      <c r="J780" s="67"/>
      <c r="K780" s="68"/>
      <c r="L780" s="67"/>
      <c r="N780" s="69"/>
      <c r="O780" s="6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</row>
    <row r="781">
      <c r="A781" s="35"/>
      <c r="B781" s="35"/>
      <c r="C781" s="35"/>
      <c r="D781" s="35"/>
      <c r="F781" s="66"/>
      <c r="H781" s="67"/>
      <c r="J781" s="67"/>
      <c r="K781" s="68"/>
      <c r="L781" s="67"/>
      <c r="N781" s="69"/>
      <c r="O781" s="6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</row>
    <row r="782">
      <c r="A782" s="35"/>
      <c r="B782" s="35"/>
      <c r="C782" s="35"/>
      <c r="D782" s="35"/>
      <c r="F782" s="66"/>
      <c r="H782" s="67"/>
      <c r="J782" s="67"/>
      <c r="K782" s="68"/>
      <c r="L782" s="67"/>
      <c r="N782" s="69"/>
      <c r="O782" s="6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</row>
    <row r="783">
      <c r="A783" s="35"/>
      <c r="B783" s="35"/>
      <c r="C783" s="35"/>
      <c r="D783" s="35"/>
      <c r="F783" s="66"/>
      <c r="H783" s="67"/>
      <c r="J783" s="67"/>
      <c r="K783" s="68"/>
      <c r="L783" s="67"/>
      <c r="N783" s="69"/>
      <c r="O783" s="6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</row>
    <row r="784">
      <c r="A784" s="35"/>
      <c r="B784" s="35"/>
      <c r="C784" s="35"/>
      <c r="D784" s="35"/>
      <c r="F784" s="66"/>
      <c r="H784" s="67"/>
      <c r="J784" s="67"/>
      <c r="K784" s="68"/>
      <c r="L784" s="67"/>
      <c r="N784" s="69"/>
      <c r="O784" s="6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</row>
    <row r="785">
      <c r="A785" s="35"/>
      <c r="B785" s="35"/>
      <c r="C785" s="35"/>
      <c r="D785" s="35"/>
      <c r="F785" s="66"/>
      <c r="H785" s="67"/>
      <c r="J785" s="67"/>
      <c r="K785" s="68"/>
      <c r="L785" s="67"/>
      <c r="N785" s="69"/>
      <c r="O785" s="6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</row>
    <row r="786">
      <c r="A786" s="35"/>
      <c r="B786" s="35"/>
      <c r="C786" s="35"/>
      <c r="D786" s="35"/>
      <c r="F786" s="66"/>
      <c r="H786" s="67"/>
      <c r="J786" s="67"/>
      <c r="K786" s="68"/>
      <c r="L786" s="67"/>
      <c r="N786" s="69"/>
      <c r="O786" s="6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</row>
    <row r="787">
      <c r="A787" s="35"/>
      <c r="B787" s="35"/>
      <c r="C787" s="35"/>
      <c r="D787" s="35"/>
      <c r="F787" s="66"/>
      <c r="H787" s="67"/>
      <c r="J787" s="67"/>
      <c r="K787" s="68"/>
      <c r="L787" s="67"/>
      <c r="N787" s="69"/>
      <c r="O787" s="6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</row>
    <row r="788">
      <c r="A788" s="35"/>
      <c r="B788" s="35"/>
      <c r="C788" s="35"/>
      <c r="D788" s="35"/>
      <c r="F788" s="66"/>
      <c r="H788" s="67"/>
      <c r="J788" s="67"/>
      <c r="K788" s="68"/>
      <c r="L788" s="67"/>
      <c r="N788" s="69"/>
      <c r="O788" s="6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</row>
    <row r="789">
      <c r="A789" s="35"/>
      <c r="B789" s="35"/>
      <c r="C789" s="35"/>
      <c r="D789" s="35"/>
      <c r="F789" s="66"/>
      <c r="H789" s="67"/>
      <c r="J789" s="67"/>
      <c r="K789" s="68"/>
      <c r="L789" s="67"/>
      <c r="N789" s="69"/>
      <c r="O789" s="6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</row>
    <row r="790">
      <c r="A790" s="35"/>
      <c r="B790" s="35"/>
      <c r="C790" s="35"/>
      <c r="D790" s="35"/>
      <c r="F790" s="66"/>
      <c r="H790" s="67"/>
      <c r="J790" s="67"/>
      <c r="K790" s="68"/>
      <c r="L790" s="67"/>
      <c r="N790" s="69"/>
      <c r="O790" s="6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</row>
    <row r="791">
      <c r="A791" s="35"/>
      <c r="B791" s="35"/>
      <c r="C791" s="35"/>
      <c r="D791" s="35"/>
      <c r="F791" s="66"/>
      <c r="H791" s="67"/>
      <c r="J791" s="67"/>
      <c r="K791" s="68"/>
      <c r="L791" s="67"/>
      <c r="N791" s="69"/>
      <c r="O791" s="6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</row>
    <row r="792">
      <c r="A792" s="35"/>
      <c r="B792" s="35"/>
      <c r="C792" s="35"/>
      <c r="D792" s="35"/>
      <c r="F792" s="66"/>
      <c r="H792" s="67"/>
      <c r="J792" s="67"/>
      <c r="K792" s="68"/>
      <c r="L792" s="67"/>
      <c r="N792" s="69"/>
      <c r="O792" s="6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</row>
    <row r="793">
      <c r="A793" s="35"/>
      <c r="B793" s="35"/>
      <c r="C793" s="35"/>
      <c r="D793" s="35"/>
      <c r="F793" s="66"/>
      <c r="H793" s="67"/>
      <c r="J793" s="67"/>
      <c r="K793" s="68"/>
      <c r="L793" s="67"/>
      <c r="N793" s="69"/>
      <c r="O793" s="6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</row>
    <row r="794">
      <c r="A794" s="35"/>
      <c r="B794" s="35"/>
      <c r="C794" s="35"/>
      <c r="D794" s="35"/>
      <c r="F794" s="66"/>
      <c r="H794" s="67"/>
      <c r="J794" s="67"/>
      <c r="K794" s="68"/>
      <c r="L794" s="67"/>
      <c r="N794" s="69"/>
      <c r="O794" s="6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</row>
    <row r="795">
      <c r="A795" s="35"/>
      <c r="B795" s="35"/>
      <c r="C795" s="35"/>
      <c r="D795" s="35"/>
      <c r="F795" s="66"/>
      <c r="H795" s="67"/>
      <c r="J795" s="67"/>
      <c r="K795" s="68"/>
      <c r="L795" s="67"/>
      <c r="N795" s="69"/>
      <c r="O795" s="6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</row>
    <row r="796">
      <c r="A796" s="35"/>
      <c r="B796" s="35"/>
      <c r="C796" s="35"/>
      <c r="D796" s="35"/>
      <c r="F796" s="66"/>
      <c r="H796" s="67"/>
      <c r="J796" s="67"/>
      <c r="K796" s="68"/>
      <c r="L796" s="67"/>
      <c r="N796" s="69"/>
      <c r="O796" s="6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</row>
    <row r="797">
      <c r="A797" s="35"/>
      <c r="B797" s="35"/>
      <c r="C797" s="35"/>
      <c r="D797" s="35"/>
      <c r="F797" s="66"/>
      <c r="H797" s="67"/>
      <c r="J797" s="67"/>
      <c r="K797" s="68"/>
      <c r="L797" s="67"/>
      <c r="N797" s="69"/>
      <c r="O797" s="6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</row>
    <row r="798">
      <c r="A798" s="35"/>
      <c r="B798" s="35"/>
      <c r="C798" s="35"/>
      <c r="D798" s="35"/>
      <c r="F798" s="66"/>
      <c r="H798" s="67"/>
      <c r="J798" s="67"/>
      <c r="K798" s="68"/>
      <c r="L798" s="67"/>
      <c r="N798" s="69"/>
      <c r="O798" s="6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</row>
    <row r="799">
      <c r="A799" s="35"/>
      <c r="B799" s="35"/>
      <c r="C799" s="35"/>
      <c r="D799" s="35"/>
      <c r="F799" s="66"/>
      <c r="H799" s="67"/>
      <c r="J799" s="67"/>
      <c r="K799" s="68"/>
      <c r="L799" s="67"/>
      <c r="N799" s="69"/>
      <c r="O799" s="6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</row>
    <row r="800">
      <c r="A800" s="35"/>
      <c r="B800" s="35"/>
      <c r="C800" s="35"/>
      <c r="D800" s="35"/>
      <c r="F800" s="66"/>
      <c r="H800" s="67"/>
      <c r="J800" s="67"/>
      <c r="K800" s="68"/>
      <c r="L800" s="67"/>
      <c r="N800" s="69"/>
      <c r="O800" s="6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</row>
    <row r="801">
      <c r="A801" s="35"/>
      <c r="B801" s="35"/>
      <c r="C801" s="35"/>
      <c r="D801" s="35"/>
      <c r="F801" s="66"/>
      <c r="H801" s="67"/>
      <c r="J801" s="67"/>
      <c r="K801" s="68"/>
      <c r="L801" s="67"/>
      <c r="N801" s="69"/>
      <c r="O801" s="6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</row>
    <row r="802">
      <c r="A802" s="35"/>
      <c r="B802" s="35"/>
      <c r="C802" s="35"/>
      <c r="D802" s="35"/>
      <c r="F802" s="66"/>
      <c r="H802" s="67"/>
      <c r="J802" s="67"/>
      <c r="K802" s="68"/>
      <c r="L802" s="67"/>
      <c r="N802" s="69"/>
      <c r="O802" s="6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</row>
    <row r="803">
      <c r="A803" s="35"/>
      <c r="B803" s="35"/>
      <c r="C803" s="35"/>
      <c r="D803" s="35"/>
      <c r="F803" s="66"/>
      <c r="H803" s="67"/>
      <c r="J803" s="67"/>
      <c r="K803" s="68"/>
      <c r="L803" s="67"/>
      <c r="N803" s="69"/>
      <c r="O803" s="6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</row>
    <row r="804">
      <c r="A804" s="35"/>
      <c r="B804" s="35"/>
      <c r="C804" s="35"/>
      <c r="D804" s="35"/>
      <c r="F804" s="66"/>
      <c r="H804" s="67"/>
      <c r="J804" s="67"/>
      <c r="K804" s="68"/>
      <c r="L804" s="67"/>
      <c r="N804" s="69"/>
      <c r="O804" s="6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</row>
    <row r="805">
      <c r="A805" s="35"/>
      <c r="B805" s="35"/>
      <c r="C805" s="35"/>
      <c r="D805" s="35"/>
      <c r="F805" s="66"/>
      <c r="H805" s="67"/>
      <c r="J805" s="67"/>
      <c r="K805" s="68"/>
      <c r="L805" s="67"/>
      <c r="N805" s="69"/>
      <c r="O805" s="6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</row>
    <row r="806">
      <c r="A806" s="35"/>
      <c r="B806" s="35"/>
      <c r="C806" s="35"/>
      <c r="D806" s="35"/>
      <c r="F806" s="66"/>
      <c r="H806" s="67"/>
      <c r="J806" s="67"/>
      <c r="K806" s="68"/>
      <c r="L806" s="67"/>
      <c r="N806" s="69"/>
      <c r="O806" s="6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</row>
    <row r="807">
      <c r="A807" s="35"/>
      <c r="B807" s="35"/>
      <c r="C807" s="35"/>
      <c r="D807" s="35"/>
      <c r="F807" s="66"/>
      <c r="H807" s="67"/>
      <c r="J807" s="67"/>
      <c r="K807" s="68"/>
      <c r="L807" s="67"/>
      <c r="N807" s="69"/>
      <c r="O807" s="6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</row>
    <row r="808">
      <c r="A808" s="35"/>
      <c r="B808" s="35"/>
      <c r="C808" s="35"/>
      <c r="D808" s="35"/>
      <c r="F808" s="66"/>
      <c r="H808" s="67"/>
      <c r="J808" s="67"/>
      <c r="K808" s="68"/>
      <c r="L808" s="67"/>
      <c r="N808" s="69"/>
      <c r="O808" s="6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</row>
    <row r="809">
      <c r="A809" s="35"/>
      <c r="B809" s="35"/>
      <c r="C809" s="35"/>
      <c r="D809" s="35"/>
      <c r="F809" s="66"/>
      <c r="H809" s="67"/>
      <c r="J809" s="67"/>
      <c r="K809" s="68"/>
      <c r="L809" s="67"/>
      <c r="N809" s="69"/>
      <c r="O809" s="6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</row>
    <row r="810">
      <c r="A810" s="35"/>
      <c r="B810" s="35"/>
      <c r="C810" s="35"/>
      <c r="D810" s="35"/>
      <c r="F810" s="66"/>
      <c r="H810" s="67"/>
      <c r="J810" s="67"/>
      <c r="K810" s="68"/>
      <c r="L810" s="67"/>
      <c r="N810" s="69"/>
      <c r="O810" s="6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</row>
    <row r="811">
      <c r="A811" s="35"/>
      <c r="B811" s="35"/>
      <c r="C811" s="35"/>
      <c r="D811" s="35"/>
      <c r="F811" s="66"/>
      <c r="H811" s="67"/>
      <c r="J811" s="67"/>
      <c r="K811" s="68"/>
      <c r="L811" s="67"/>
      <c r="N811" s="69"/>
      <c r="O811" s="6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</row>
    <row r="812">
      <c r="A812" s="35"/>
      <c r="B812" s="35"/>
      <c r="C812" s="35"/>
      <c r="D812" s="35"/>
      <c r="F812" s="66"/>
      <c r="H812" s="67"/>
      <c r="J812" s="67"/>
      <c r="K812" s="68"/>
      <c r="L812" s="67"/>
      <c r="N812" s="69"/>
      <c r="O812" s="6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</row>
    <row r="813">
      <c r="A813" s="35"/>
      <c r="B813" s="35"/>
      <c r="C813" s="35"/>
      <c r="D813" s="35"/>
      <c r="F813" s="66"/>
      <c r="H813" s="67"/>
      <c r="J813" s="67"/>
      <c r="K813" s="68"/>
      <c r="L813" s="67"/>
      <c r="N813" s="69"/>
      <c r="O813" s="6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</row>
    <row r="814">
      <c r="A814" s="35"/>
      <c r="B814" s="35"/>
      <c r="C814" s="35"/>
      <c r="D814" s="35"/>
      <c r="F814" s="66"/>
      <c r="H814" s="67"/>
      <c r="J814" s="67"/>
      <c r="K814" s="68"/>
      <c r="L814" s="67"/>
      <c r="N814" s="69"/>
      <c r="O814" s="6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</row>
    <row r="815">
      <c r="A815" s="35"/>
      <c r="B815" s="35"/>
      <c r="C815" s="35"/>
      <c r="D815" s="35"/>
      <c r="F815" s="66"/>
      <c r="H815" s="67"/>
      <c r="J815" s="67"/>
      <c r="K815" s="68"/>
      <c r="L815" s="67"/>
      <c r="N815" s="69"/>
      <c r="O815" s="6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</row>
    <row r="816">
      <c r="A816" s="35"/>
      <c r="B816" s="35"/>
      <c r="C816" s="35"/>
      <c r="D816" s="35"/>
      <c r="F816" s="66"/>
      <c r="H816" s="67"/>
      <c r="J816" s="67"/>
      <c r="K816" s="68"/>
      <c r="L816" s="67"/>
      <c r="N816" s="69"/>
      <c r="O816" s="6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</row>
    <row r="817">
      <c r="A817" s="35"/>
      <c r="B817" s="35"/>
      <c r="C817" s="35"/>
      <c r="D817" s="35"/>
      <c r="F817" s="66"/>
      <c r="H817" s="67"/>
      <c r="J817" s="67"/>
      <c r="K817" s="68"/>
      <c r="L817" s="67"/>
      <c r="N817" s="69"/>
      <c r="O817" s="6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</row>
    <row r="818">
      <c r="A818" s="35"/>
      <c r="B818" s="35"/>
      <c r="C818" s="35"/>
      <c r="D818" s="35"/>
      <c r="F818" s="66"/>
      <c r="H818" s="67"/>
      <c r="J818" s="67"/>
      <c r="K818" s="68"/>
      <c r="L818" s="67"/>
      <c r="N818" s="69"/>
      <c r="O818" s="6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</row>
    <row r="819">
      <c r="A819" s="35"/>
      <c r="B819" s="35"/>
      <c r="C819" s="35"/>
      <c r="D819" s="35"/>
      <c r="F819" s="66"/>
      <c r="H819" s="67"/>
      <c r="J819" s="67"/>
      <c r="K819" s="68"/>
      <c r="L819" s="67"/>
      <c r="N819" s="69"/>
      <c r="O819" s="6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</row>
    <row r="820">
      <c r="A820" s="35"/>
      <c r="B820" s="35"/>
      <c r="C820" s="35"/>
      <c r="D820" s="35"/>
      <c r="F820" s="66"/>
      <c r="H820" s="67"/>
      <c r="J820" s="67"/>
      <c r="K820" s="68"/>
      <c r="L820" s="67"/>
      <c r="N820" s="69"/>
      <c r="O820" s="6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</row>
    <row r="821">
      <c r="A821" s="35"/>
      <c r="B821" s="35"/>
      <c r="C821" s="35"/>
      <c r="D821" s="35"/>
      <c r="F821" s="66"/>
      <c r="H821" s="67"/>
      <c r="J821" s="67"/>
      <c r="K821" s="68"/>
      <c r="L821" s="67"/>
      <c r="N821" s="69"/>
      <c r="O821" s="6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</row>
    <row r="822">
      <c r="A822" s="35"/>
      <c r="B822" s="35"/>
      <c r="C822" s="35"/>
      <c r="D822" s="35"/>
      <c r="F822" s="66"/>
      <c r="H822" s="67"/>
      <c r="J822" s="67"/>
      <c r="K822" s="68"/>
      <c r="L822" s="67"/>
      <c r="N822" s="69"/>
      <c r="O822" s="6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</row>
    <row r="823">
      <c r="A823" s="35"/>
      <c r="B823" s="35"/>
      <c r="C823" s="35"/>
      <c r="D823" s="35"/>
      <c r="F823" s="66"/>
      <c r="H823" s="67"/>
      <c r="J823" s="67"/>
      <c r="K823" s="68"/>
      <c r="L823" s="67"/>
      <c r="N823" s="69"/>
      <c r="O823" s="6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</row>
    <row r="824">
      <c r="A824" s="35"/>
      <c r="B824" s="35"/>
      <c r="C824" s="35"/>
      <c r="D824" s="35"/>
      <c r="F824" s="66"/>
      <c r="H824" s="67"/>
      <c r="J824" s="67"/>
      <c r="K824" s="68"/>
      <c r="L824" s="67"/>
      <c r="N824" s="69"/>
      <c r="O824" s="6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</row>
    <row r="825">
      <c r="A825" s="35"/>
      <c r="B825" s="35"/>
      <c r="C825" s="35"/>
      <c r="D825" s="35"/>
      <c r="F825" s="66"/>
      <c r="H825" s="67"/>
      <c r="J825" s="67"/>
      <c r="K825" s="68"/>
      <c r="L825" s="67"/>
      <c r="N825" s="69"/>
      <c r="O825" s="6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</row>
    <row r="826">
      <c r="A826" s="35"/>
      <c r="B826" s="35"/>
      <c r="C826" s="35"/>
      <c r="D826" s="35"/>
      <c r="F826" s="66"/>
      <c r="H826" s="67"/>
      <c r="J826" s="67"/>
      <c r="K826" s="68"/>
      <c r="L826" s="67"/>
      <c r="N826" s="69"/>
      <c r="O826" s="6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</row>
    <row r="827">
      <c r="A827" s="35"/>
      <c r="B827" s="35"/>
      <c r="C827" s="35"/>
      <c r="D827" s="35"/>
      <c r="F827" s="66"/>
      <c r="H827" s="67"/>
      <c r="J827" s="67"/>
      <c r="K827" s="68"/>
      <c r="L827" s="67"/>
      <c r="N827" s="69"/>
      <c r="O827" s="6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</row>
    <row r="828">
      <c r="A828" s="35"/>
      <c r="B828" s="35"/>
      <c r="C828" s="35"/>
      <c r="D828" s="35"/>
      <c r="F828" s="66"/>
      <c r="H828" s="67"/>
      <c r="J828" s="67"/>
      <c r="K828" s="68"/>
      <c r="L828" s="67"/>
      <c r="N828" s="69"/>
      <c r="O828" s="6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</row>
    <row r="829">
      <c r="A829" s="35"/>
      <c r="B829" s="35"/>
      <c r="C829" s="35"/>
      <c r="D829" s="35"/>
      <c r="F829" s="66"/>
      <c r="H829" s="67"/>
      <c r="J829" s="67"/>
      <c r="K829" s="68"/>
      <c r="L829" s="67"/>
      <c r="N829" s="69"/>
      <c r="O829" s="6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</row>
    <row r="830">
      <c r="A830" s="35"/>
      <c r="B830" s="35"/>
      <c r="C830" s="35"/>
      <c r="D830" s="35"/>
      <c r="F830" s="66"/>
      <c r="H830" s="67"/>
      <c r="J830" s="67"/>
      <c r="K830" s="68"/>
      <c r="L830" s="67"/>
      <c r="N830" s="69"/>
      <c r="O830" s="6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</row>
    <row r="831">
      <c r="A831" s="35"/>
      <c r="B831" s="35"/>
      <c r="C831" s="35"/>
      <c r="D831" s="35"/>
      <c r="F831" s="66"/>
      <c r="H831" s="67"/>
      <c r="J831" s="67"/>
      <c r="K831" s="68"/>
      <c r="L831" s="67"/>
      <c r="N831" s="69"/>
      <c r="O831" s="6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</row>
    <row r="832">
      <c r="A832" s="35"/>
      <c r="B832" s="35"/>
      <c r="C832" s="35"/>
      <c r="D832" s="35"/>
      <c r="F832" s="66"/>
      <c r="H832" s="67"/>
      <c r="J832" s="67"/>
      <c r="K832" s="68"/>
      <c r="L832" s="67"/>
      <c r="N832" s="69"/>
      <c r="O832" s="6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</row>
    <row r="833">
      <c r="A833" s="35"/>
      <c r="B833" s="35"/>
      <c r="C833" s="35"/>
      <c r="D833" s="35"/>
      <c r="F833" s="66"/>
      <c r="H833" s="67"/>
      <c r="J833" s="67"/>
      <c r="K833" s="68"/>
      <c r="L833" s="67"/>
      <c r="N833" s="69"/>
      <c r="O833" s="6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</row>
    <row r="834">
      <c r="A834" s="35"/>
      <c r="B834" s="35"/>
      <c r="C834" s="35"/>
      <c r="D834" s="35"/>
      <c r="F834" s="66"/>
      <c r="H834" s="67"/>
      <c r="J834" s="67"/>
      <c r="K834" s="68"/>
      <c r="L834" s="67"/>
      <c r="N834" s="69"/>
      <c r="O834" s="6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</row>
    <row r="835">
      <c r="A835" s="35"/>
      <c r="B835" s="35"/>
      <c r="C835" s="35"/>
      <c r="D835" s="35"/>
      <c r="F835" s="66"/>
      <c r="H835" s="67"/>
      <c r="J835" s="67"/>
      <c r="K835" s="68"/>
      <c r="L835" s="67"/>
      <c r="N835" s="69"/>
      <c r="O835" s="6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</row>
    <row r="836">
      <c r="A836" s="35"/>
      <c r="B836" s="35"/>
      <c r="C836" s="35"/>
      <c r="D836" s="35"/>
      <c r="F836" s="66"/>
      <c r="H836" s="67"/>
      <c r="J836" s="67"/>
      <c r="K836" s="68"/>
      <c r="L836" s="67"/>
      <c r="N836" s="69"/>
      <c r="O836" s="6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</row>
    <row r="837">
      <c r="A837" s="35"/>
      <c r="B837" s="35"/>
      <c r="C837" s="35"/>
      <c r="D837" s="35"/>
      <c r="F837" s="66"/>
      <c r="H837" s="67"/>
      <c r="J837" s="67"/>
      <c r="K837" s="68"/>
      <c r="L837" s="67"/>
      <c r="N837" s="69"/>
      <c r="O837" s="6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</row>
    <row r="838">
      <c r="A838" s="35"/>
      <c r="B838" s="35"/>
      <c r="C838" s="35"/>
      <c r="D838" s="35"/>
      <c r="F838" s="66"/>
      <c r="H838" s="67"/>
      <c r="J838" s="67"/>
      <c r="K838" s="68"/>
      <c r="L838" s="67"/>
      <c r="N838" s="69"/>
      <c r="O838" s="6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</row>
    <row r="839">
      <c r="A839" s="35"/>
      <c r="B839" s="35"/>
      <c r="C839" s="35"/>
      <c r="D839" s="35"/>
      <c r="F839" s="66"/>
      <c r="H839" s="67"/>
      <c r="J839" s="67"/>
      <c r="K839" s="68"/>
      <c r="L839" s="67"/>
      <c r="N839" s="69"/>
      <c r="O839" s="6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</row>
    <row r="840">
      <c r="A840" s="35"/>
      <c r="B840" s="35"/>
      <c r="C840" s="35"/>
      <c r="D840" s="35"/>
      <c r="F840" s="66"/>
      <c r="H840" s="67"/>
      <c r="J840" s="67"/>
      <c r="K840" s="68"/>
      <c r="L840" s="67"/>
      <c r="N840" s="69"/>
      <c r="O840" s="6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</row>
    <row r="841">
      <c r="A841" s="35"/>
      <c r="B841" s="35"/>
      <c r="C841" s="35"/>
      <c r="D841" s="35"/>
      <c r="F841" s="66"/>
      <c r="H841" s="67"/>
      <c r="J841" s="67"/>
      <c r="K841" s="68"/>
      <c r="L841" s="67"/>
      <c r="N841" s="69"/>
      <c r="O841" s="6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</row>
    <row r="842">
      <c r="A842" s="35"/>
      <c r="B842" s="35"/>
      <c r="C842" s="35"/>
      <c r="D842" s="35"/>
      <c r="F842" s="66"/>
      <c r="H842" s="67"/>
      <c r="J842" s="67"/>
      <c r="K842" s="68"/>
      <c r="L842" s="67"/>
      <c r="N842" s="69"/>
      <c r="O842" s="6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</row>
    <row r="843">
      <c r="A843" s="35"/>
      <c r="B843" s="35"/>
      <c r="C843" s="35"/>
      <c r="D843" s="35"/>
      <c r="F843" s="66"/>
      <c r="H843" s="67"/>
      <c r="J843" s="67"/>
      <c r="K843" s="68"/>
      <c r="L843" s="67"/>
      <c r="N843" s="69"/>
      <c r="O843" s="6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</row>
    <row r="844">
      <c r="A844" s="35"/>
      <c r="B844" s="35"/>
      <c r="C844" s="35"/>
      <c r="D844" s="35"/>
      <c r="F844" s="66"/>
      <c r="H844" s="67"/>
      <c r="J844" s="67"/>
      <c r="K844" s="68"/>
      <c r="L844" s="67"/>
      <c r="N844" s="69"/>
      <c r="O844" s="6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</row>
    <row r="845">
      <c r="A845" s="35"/>
      <c r="B845" s="35"/>
      <c r="C845" s="35"/>
      <c r="D845" s="35"/>
      <c r="F845" s="66"/>
      <c r="H845" s="67"/>
      <c r="J845" s="67"/>
      <c r="K845" s="68"/>
      <c r="L845" s="67"/>
      <c r="N845" s="69"/>
      <c r="O845" s="6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</row>
    <row r="846">
      <c r="A846" s="35"/>
      <c r="B846" s="35"/>
      <c r="C846" s="35"/>
      <c r="D846" s="35"/>
      <c r="F846" s="66"/>
      <c r="H846" s="67"/>
      <c r="J846" s="67"/>
      <c r="K846" s="68"/>
      <c r="L846" s="67"/>
      <c r="N846" s="69"/>
      <c r="O846" s="6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</row>
    <row r="847">
      <c r="A847" s="35"/>
      <c r="B847" s="35"/>
      <c r="C847" s="35"/>
      <c r="D847" s="35"/>
      <c r="F847" s="66"/>
      <c r="H847" s="67"/>
      <c r="J847" s="67"/>
      <c r="K847" s="68"/>
      <c r="L847" s="67"/>
      <c r="N847" s="69"/>
      <c r="O847" s="6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</row>
    <row r="848">
      <c r="A848" s="35"/>
      <c r="B848" s="35"/>
      <c r="C848" s="35"/>
      <c r="D848" s="35"/>
      <c r="F848" s="66"/>
      <c r="H848" s="67"/>
      <c r="J848" s="67"/>
      <c r="K848" s="68"/>
      <c r="L848" s="67"/>
      <c r="N848" s="69"/>
      <c r="O848" s="6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</row>
    <row r="849">
      <c r="A849" s="35"/>
      <c r="B849" s="35"/>
      <c r="C849" s="35"/>
      <c r="D849" s="35"/>
      <c r="F849" s="66"/>
      <c r="H849" s="67"/>
      <c r="J849" s="67"/>
      <c r="K849" s="68"/>
      <c r="L849" s="67"/>
      <c r="N849" s="69"/>
      <c r="O849" s="6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</row>
    <row r="850">
      <c r="A850" s="35"/>
      <c r="B850" s="35"/>
      <c r="C850" s="35"/>
      <c r="D850" s="35"/>
      <c r="F850" s="66"/>
      <c r="H850" s="67"/>
      <c r="J850" s="67"/>
      <c r="K850" s="68"/>
      <c r="L850" s="67"/>
      <c r="N850" s="69"/>
      <c r="O850" s="6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</row>
    <row r="851">
      <c r="A851" s="35"/>
      <c r="B851" s="35"/>
      <c r="C851" s="35"/>
      <c r="D851" s="35"/>
      <c r="F851" s="66"/>
      <c r="H851" s="67"/>
      <c r="J851" s="67"/>
      <c r="K851" s="68"/>
      <c r="L851" s="67"/>
      <c r="N851" s="69"/>
      <c r="O851" s="6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</row>
    <row r="852">
      <c r="A852" s="35"/>
      <c r="B852" s="35"/>
      <c r="C852" s="35"/>
      <c r="D852" s="35"/>
      <c r="F852" s="66"/>
      <c r="H852" s="67"/>
      <c r="J852" s="67"/>
      <c r="K852" s="68"/>
      <c r="L852" s="67"/>
      <c r="N852" s="69"/>
      <c r="O852" s="6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</row>
    <row r="853">
      <c r="A853" s="35"/>
      <c r="B853" s="35"/>
      <c r="C853" s="35"/>
      <c r="D853" s="35"/>
      <c r="F853" s="66"/>
      <c r="H853" s="67"/>
      <c r="J853" s="67"/>
      <c r="K853" s="68"/>
      <c r="L853" s="67"/>
      <c r="N853" s="69"/>
      <c r="O853" s="6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</row>
    <row r="854">
      <c r="A854" s="35"/>
      <c r="B854" s="35"/>
      <c r="C854" s="35"/>
      <c r="D854" s="35"/>
      <c r="F854" s="66"/>
      <c r="H854" s="67"/>
      <c r="J854" s="67"/>
      <c r="K854" s="68"/>
      <c r="L854" s="67"/>
      <c r="N854" s="69"/>
      <c r="O854" s="6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</row>
    <row r="855">
      <c r="A855" s="35"/>
      <c r="B855" s="35"/>
      <c r="C855" s="35"/>
      <c r="D855" s="35"/>
      <c r="F855" s="66"/>
      <c r="H855" s="67"/>
      <c r="J855" s="67"/>
      <c r="K855" s="68"/>
      <c r="L855" s="67"/>
      <c r="N855" s="69"/>
      <c r="O855" s="6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</row>
    <row r="856">
      <c r="A856" s="35"/>
      <c r="B856" s="35"/>
      <c r="C856" s="35"/>
      <c r="D856" s="35"/>
      <c r="F856" s="66"/>
      <c r="H856" s="67"/>
      <c r="J856" s="67"/>
      <c r="K856" s="68"/>
      <c r="L856" s="67"/>
      <c r="N856" s="69"/>
      <c r="O856" s="6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</row>
    <row r="857">
      <c r="A857" s="35"/>
      <c r="B857" s="35"/>
      <c r="C857" s="35"/>
      <c r="D857" s="35"/>
      <c r="F857" s="66"/>
      <c r="H857" s="67"/>
      <c r="J857" s="67"/>
      <c r="K857" s="68"/>
      <c r="L857" s="67"/>
      <c r="N857" s="69"/>
      <c r="O857" s="6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</row>
    <row r="858">
      <c r="A858" s="35"/>
      <c r="B858" s="35"/>
      <c r="C858" s="35"/>
      <c r="D858" s="35"/>
      <c r="F858" s="66"/>
      <c r="H858" s="67"/>
      <c r="J858" s="67"/>
      <c r="K858" s="68"/>
      <c r="L858" s="67"/>
      <c r="N858" s="69"/>
      <c r="O858" s="6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</row>
    <row r="859">
      <c r="A859" s="35"/>
      <c r="B859" s="35"/>
      <c r="C859" s="35"/>
      <c r="D859" s="35"/>
      <c r="F859" s="66"/>
      <c r="H859" s="67"/>
      <c r="J859" s="67"/>
      <c r="K859" s="68"/>
      <c r="L859" s="67"/>
      <c r="N859" s="69"/>
      <c r="O859" s="6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</row>
    <row r="860">
      <c r="A860" s="35"/>
      <c r="B860" s="35"/>
      <c r="C860" s="35"/>
      <c r="D860" s="35"/>
      <c r="F860" s="66"/>
      <c r="H860" s="67"/>
      <c r="J860" s="67"/>
      <c r="K860" s="68"/>
      <c r="L860" s="67"/>
      <c r="N860" s="69"/>
      <c r="O860" s="6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</row>
    <row r="861">
      <c r="A861" s="35"/>
      <c r="B861" s="35"/>
      <c r="C861" s="35"/>
      <c r="D861" s="35"/>
      <c r="F861" s="66"/>
      <c r="H861" s="67"/>
      <c r="J861" s="67"/>
      <c r="K861" s="68"/>
      <c r="L861" s="67"/>
      <c r="N861" s="69"/>
      <c r="O861" s="6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</row>
    <row r="862">
      <c r="A862" s="35"/>
      <c r="B862" s="35"/>
      <c r="C862" s="35"/>
      <c r="D862" s="35"/>
      <c r="F862" s="66"/>
      <c r="H862" s="67"/>
      <c r="J862" s="67"/>
      <c r="K862" s="68"/>
      <c r="L862" s="67"/>
      <c r="N862" s="69"/>
      <c r="O862" s="6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</row>
    <row r="863">
      <c r="A863" s="35"/>
      <c r="B863" s="35"/>
      <c r="C863" s="35"/>
      <c r="D863" s="35"/>
      <c r="F863" s="66"/>
      <c r="H863" s="67"/>
      <c r="J863" s="67"/>
      <c r="K863" s="68"/>
      <c r="L863" s="67"/>
      <c r="N863" s="69"/>
      <c r="O863" s="6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</row>
    <row r="864">
      <c r="A864" s="35"/>
      <c r="B864" s="35"/>
      <c r="C864" s="35"/>
      <c r="D864" s="35"/>
      <c r="F864" s="66"/>
      <c r="H864" s="67"/>
      <c r="J864" s="67"/>
      <c r="K864" s="68"/>
      <c r="L864" s="67"/>
      <c r="N864" s="69"/>
      <c r="O864" s="6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</row>
    <row r="865">
      <c r="A865" s="35"/>
      <c r="B865" s="35"/>
      <c r="C865" s="35"/>
      <c r="D865" s="35"/>
      <c r="F865" s="66"/>
      <c r="H865" s="67"/>
      <c r="J865" s="67"/>
      <c r="K865" s="68"/>
      <c r="L865" s="67"/>
      <c r="N865" s="69"/>
      <c r="O865" s="6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</row>
    <row r="866">
      <c r="A866" s="35"/>
      <c r="B866" s="35"/>
      <c r="C866" s="35"/>
      <c r="D866" s="35"/>
      <c r="F866" s="66"/>
      <c r="H866" s="67"/>
      <c r="J866" s="67"/>
      <c r="K866" s="68"/>
      <c r="L866" s="67"/>
      <c r="N866" s="69"/>
      <c r="O866" s="6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</row>
    <row r="867">
      <c r="A867" s="35"/>
      <c r="B867" s="35"/>
      <c r="C867" s="35"/>
      <c r="D867" s="35"/>
      <c r="F867" s="66"/>
      <c r="H867" s="67"/>
      <c r="J867" s="67"/>
      <c r="K867" s="68"/>
      <c r="L867" s="67"/>
      <c r="N867" s="69"/>
      <c r="O867" s="6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</row>
    <row r="868">
      <c r="A868" s="35"/>
      <c r="B868" s="35"/>
      <c r="C868" s="35"/>
      <c r="D868" s="35"/>
      <c r="F868" s="66"/>
      <c r="H868" s="67"/>
      <c r="J868" s="67"/>
      <c r="K868" s="68"/>
      <c r="L868" s="67"/>
      <c r="N868" s="69"/>
      <c r="O868" s="6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</row>
    <row r="869">
      <c r="A869" s="35"/>
      <c r="B869" s="35"/>
      <c r="C869" s="35"/>
      <c r="D869" s="35"/>
      <c r="F869" s="66"/>
      <c r="H869" s="67"/>
      <c r="J869" s="67"/>
      <c r="K869" s="68"/>
      <c r="L869" s="67"/>
      <c r="N869" s="69"/>
      <c r="O869" s="6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</row>
    <row r="870">
      <c r="A870" s="35"/>
      <c r="B870" s="35"/>
      <c r="C870" s="35"/>
      <c r="D870" s="35"/>
      <c r="F870" s="66"/>
      <c r="H870" s="67"/>
      <c r="J870" s="67"/>
      <c r="K870" s="68"/>
      <c r="L870" s="67"/>
      <c r="N870" s="69"/>
      <c r="O870" s="6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</row>
    <row r="871">
      <c r="A871" s="35"/>
      <c r="B871" s="35"/>
      <c r="C871" s="35"/>
      <c r="D871" s="35"/>
      <c r="F871" s="66"/>
      <c r="H871" s="67"/>
      <c r="J871" s="67"/>
      <c r="K871" s="68"/>
      <c r="L871" s="67"/>
      <c r="N871" s="69"/>
      <c r="O871" s="6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</row>
    <row r="872">
      <c r="A872" s="35"/>
      <c r="B872" s="35"/>
      <c r="C872" s="35"/>
      <c r="D872" s="35"/>
      <c r="F872" s="66"/>
      <c r="H872" s="67"/>
      <c r="J872" s="67"/>
      <c r="K872" s="68"/>
      <c r="L872" s="67"/>
      <c r="N872" s="69"/>
      <c r="O872" s="6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</row>
    <row r="873">
      <c r="A873" s="35"/>
      <c r="B873" s="35"/>
      <c r="C873" s="35"/>
      <c r="D873" s="35"/>
      <c r="F873" s="66"/>
      <c r="H873" s="67"/>
      <c r="J873" s="67"/>
      <c r="K873" s="68"/>
      <c r="L873" s="67"/>
      <c r="N873" s="69"/>
      <c r="O873" s="6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</row>
    <row r="874">
      <c r="A874" s="35"/>
      <c r="B874" s="35"/>
      <c r="C874" s="35"/>
      <c r="D874" s="35"/>
      <c r="F874" s="66"/>
      <c r="H874" s="67"/>
      <c r="J874" s="67"/>
      <c r="K874" s="68"/>
      <c r="L874" s="67"/>
      <c r="N874" s="69"/>
      <c r="O874" s="6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</row>
    <row r="875">
      <c r="A875" s="35"/>
      <c r="B875" s="35"/>
      <c r="C875" s="35"/>
      <c r="D875" s="35"/>
      <c r="F875" s="66"/>
      <c r="H875" s="67"/>
      <c r="J875" s="67"/>
      <c r="K875" s="68"/>
      <c r="L875" s="67"/>
      <c r="N875" s="69"/>
      <c r="O875" s="6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</row>
    <row r="876">
      <c r="A876" s="35"/>
      <c r="B876" s="35"/>
      <c r="C876" s="35"/>
      <c r="D876" s="35"/>
      <c r="F876" s="66"/>
      <c r="H876" s="67"/>
      <c r="J876" s="67"/>
      <c r="K876" s="68"/>
      <c r="L876" s="67"/>
      <c r="N876" s="69"/>
      <c r="O876" s="6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</row>
    <row r="877">
      <c r="A877" s="35"/>
      <c r="B877" s="35"/>
      <c r="C877" s="35"/>
      <c r="D877" s="35"/>
      <c r="F877" s="66"/>
      <c r="H877" s="67"/>
      <c r="J877" s="67"/>
      <c r="K877" s="68"/>
      <c r="L877" s="67"/>
      <c r="N877" s="69"/>
      <c r="O877" s="6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</row>
    <row r="878">
      <c r="A878" s="35"/>
      <c r="B878" s="35"/>
      <c r="C878" s="35"/>
      <c r="D878" s="35"/>
      <c r="F878" s="66"/>
      <c r="H878" s="67"/>
      <c r="J878" s="67"/>
      <c r="K878" s="68"/>
      <c r="L878" s="67"/>
      <c r="N878" s="69"/>
      <c r="O878" s="6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</row>
    <row r="879">
      <c r="A879" s="35"/>
      <c r="B879" s="35"/>
      <c r="C879" s="35"/>
      <c r="D879" s="35"/>
      <c r="F879" s="66"/>
      <c r="H879" s="67"/>
      <c r="J879" s="67"/>
      <c r="K879" s="68"/>
      <c r="L879" s="67"/>
      <c r="N879" s="69"/>
      <c r="O879" s="6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</row>
    <row r="880">
      <c r="A880" s="35"/>
      <c r="B880" s="35"/>
      <c r="C880" s="35"/>
      <c r="D880" s="35"/>
      <c r="F880" s="66"/>
      <c r="H880" s="67"/>
      <c r="J880" s="67"/>
      <c r="K880" s="68"/>
      <c r="L880" s="67"/>
      <c r="N880" s="69"/>
      <c r="O880" s="6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</row>
    <row r="881">
      <c r="A881" s="35"/>
      <c r="B881" s="35"/>
      <c r="C881" s="35"/>
      <c r="D881" s="35"/>
      <c r="F881" s="66"/>
      <c r="H881" s="67"/>
      <c r="J881" s="67"/>
      <c r="K881" s="68"/>
      <c r="L881" s="67"/>
      <c r="N881" s="69"/>
      <c r="O881" s="6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</row>
    <row r="882">
      <c r="A882" s="35"/>
      <c r="B882" s="35"/>
      <c r="C882" s="35"/>
      <c r="D882" s="35"/>
      <c r="F882" s="66"/>
      <c r="H882" s="67"/>
      <c r="J882" s="67"/>
      <c r="K882" s="68"/>
      <c r="L882" s="67"/>
      <c r="N882" s="69"/>
      <c r="O882" s="6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</row>
    <row r="883">
      <c r="A883" s="35"/>
      <c r="B883" s="35"/>
      <c r="C883" s="35"/>
      <c r="D883" s="35"/>
      <c r="F883" s="66"/>
      <c r="H883" s="67"/>
      <c r="J883" s="67"/>
      <c r="K883" s="68"/>
      <c r="L883" s="67"/>
      <c r="N883" s="69"/>
      <c r="O883" s="6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</row>
    <row r="884">
      <c r="A884" s="35"/>
      <c r="B884" s="35"/>
      <c r="C884" s="35"/>
      <c r="D884" s="35"/>
      <c r="F884" s="66"/>
      <c r="H884" s="67"/>
      <c r="J884" s="67"/>
      <c r="K884" s="68"/>
      <c r="L884" s="67"/>
      <c r="N884" s="69"/>
      <c r="O884" s="6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</row>
    <row r="885">
      <c r="A885" s="35"/>
      <c r="B885" s="35"/>
      <c r="C885" s="35"/>
      <c r="D885" s="35"/>
      <c r="F885" s="66"/>
      <c r="H885" s="67"/>
      <c r="J885" s="67"/>
      <c r="K885" s="68"/>
      <c r="L885" s="67"/>
      <c r="N885" s="69"/>
      <c r="O885" s="6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</row>
    <row r="886">
      <c r="A886" s="35"/>
      <c r="B886" s="35"/>
      <c r="C886" s="35"/>
      <c r="D886" s="35"/>
      <c r="F886" s="66"/>
      <c r="H886" s="67"/>
      <c r="J886" s="67"/>
      <c r="K886" s="68"/>
      <c r="L886" s="67"/>
      <c r="N886" s="69"/>
      <c r="O886" s="6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</row>
    <row r="887">
      <c r="A887" s="35"/>
      <c r="B887" s="35"/>
      <c r="C887" s="35"/>
      <c r="D887" s="35"/>
      <c r="F887" s="66"/>
      <c r="H887" s="67"/>
      <c r="J887" s="67"/>
      <c r="K887" s="68"/>
      <c r="L887" s="67"/>
      <c r="N887" s="69"/>
      <c r="O887" s="6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</row>
    <row r="888">
      <c r="A888" s="35"/>
      <c r="B888" s="35"/>
      <c r="C888" s="35"/>
      <c r="D888" s="35"/>
      <c r="F888" s="66"/>
      <c r="H888" s="67"/>
      <c r="J888" s="67"/>
      <c r="K888" s="68"/>
      <c r="L888" s="67"/>
      <c r="N888" s="69"/>
      <c r="O888" s="6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</row>
    <row r="889">
      <c r="A889" s="35"/>
      <c r="B889" s="35"/>
      <c r="C889" s="35"/>
      <c r="D889" s="35"/>
      <c r="F889" s="66"/>
      <c r="H889" s="67"/>
      <c r="J889" s="67"/>
      <c r="K889" s="68"/>
      <c r="L889" s="67"/>
      <c r="N889" s="69"/>
      <c r="O889" s="6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</row>
    <row r="890">
      <c r="A890" s="35"/>
      <c r="B890" s="35"/>
      <c r="C890" s="35"/>
      <c r="D890" s="35"/>
      <c r="F890" s="66"/>
      <c r="H890" s="67"/>
      <c r="J890" s="67"/>
      <c r="K890" s="68"/>
      <c r="L890" s="67"/>
      <c r="N890" s="69"/>
      <c r="O890" s="6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</row>
    <row r="891">
      <c r="A891" s="35"/>
      <c r="B891" s="35"/>
      <c r="C891" s="35"/>
      <c r="D891" s="35"/>
      <c r="F891" s="66"/>
      <c r="H891" s="67"/>
      <c r="J891" s="67"/>
      <c r="K891" s="68"/>
      <c r="L891" s="67"/>
      <c r="N891" s="69"/>
      <c r="O891" s="6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</row>
    <row r="892">
      <c r="A892" s="35"/>
      <c r="B892" s="35"/>
      <c r="C892" s="35"/>
      <c r="D892" s="35"/>
      <c r="F892" s="66"/>
      <c r="H892" s="67"/>
      <c r="J892" s="67"/>
      <c r="K892" s="68"/>
      <c r="L892" s="67"/>
      <c r="N892" s="69"/>
      <c r="O892" s="6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</row>
    <row r="893">
      <c r="A893" s="35"/>
      <c r="B893" s="35"/>
      <c r="C893" s="35"/>
      <c r="D893" s="35"/>
      <c r="F893" s="66"/>
      <c r="H893" s="67"/>
      <c r="J893" s="67"/>
      <c r="K893" s="68"/>
      <c r="L893" s="67"/>
      <c r="N893" s="69"/>
      <c r="O893" s="6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</row>
    <row r="894">
      <c r="A894" s="35"/>
      <c r="B894" s="35"/>
      <c r="C894" s="35"/>
      <c r="D894" s="35"/>
      <c r="F894" s="66"/>
      <c r="H894" s="67"/>
      <c r="J894" s="67"/>
      <c r="K894" s="68"/>
      <c r="L894" s="67"/>
      <c r="N894" s="69"/>
      <c r="O894" s="6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</row>
    <row r="895">
      <c r="A895" s="35"/>
      <c r="B895" s="35"/>
      <c r="C895" s="35"/>
      <c r="D895" s="35"/>
      <c r="F895" s="66"/>
      <c r="H895" s="67"/>
      <c r="J895" s="67"/>
      <c r="K895" s="68"/>
      <c r="L895" s="67"/>
      <c r="N895" s="69"/>
      <c r="O895" s="6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</row>
    <row r="896">
      <c r="A896" s="35"/>
      <c r="B896" s="35"/>
      <c r="C896" s="35"/>
      <c r="D896" s="35"/>
      <c r="F896" s="66"/>
      <c r="H896" s="67"/>
      <c r="J896" s="67"/>
      <c r="K896" s="68"/>
      <c r="L896" s="67"/>
      <c r="N896" s="69"/>
      <c r="O896" s="6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</row>
    <row r="897">
      <c r="A897" s="35"/>
      <c r="B897" s="35"/>
      <c r="C897" s="35"/>
      <c r="D897" s="35"/>
      <c r="F897" s="66"/>
      <c r="H897" s="67"/>
      <c r="J897" s="67"/>
      <c r="K897" s="68"/>
      <c r="L897" s="67"/>
      <c r="N897" s="69"/>
      <c r="O897" s="6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</row>
    <row r="898">
      <c r="A898" s="35"/>
      <c r="B898" s="35"/>
      <c r="C898" s="35"/>
      <c r="D898" s="35"/>
      <c r="F898" s="66"/>
      <c r="H898" s="67"/>
      <c r="J898" s="67"/>
      <c r="K898" s="68"/>
      <c r="L898" s="67"/>
      <c r="N898" s="69"/>
      <c r="O898" s="6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</row>
    <row r="899">
      <c r="A899" s="35"/>
      <c r="B899" s="35"/>
      <c r="C899" s="35"/>
      <c r="D899" s="35"/>
      <c r="F899" s="66"/>
      <c r="H899" s="67"/>
      <c r="J899" s="67"/>
      <c r="K899" s="68"/>
      <c r="L899" s="67"/>
      <c r="N899" s="69"/>
      <c r="O899" s="6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</row>
    <row r="900">
      <c r="A900" s="35"/>
      <c r="B900" s="35"/>
      <c r="C900" s="35"/>
      <c r="D900" s="35"/>
      <c r="F900" s="66"/>
      <c r="H900" s="67"/>
      <c r="J900" s="67"/>
      <c r="K900" s="68"/>
      <c r="L900" s="67"/>
      <c r="N900" s="69"/>
      <c r="O900" s="6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</row>
    <row r="901">
      <c r="A901" s="35"/>
      <c r="B901" s="35"/>
      <c r="C901" s="35"/>
      <c r="D901" s="35"/>
      <c r="F901" s="66"/>
      <c r="H901" s="67"/>
      <c r="J901" s="67"/>
      <c r="K901" s="68"/>
      <c r="L901" s="67"/>
      <c r="N901" s="69"/>
      <c r="O901" s="6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</row>
    <row r="902">
      <c r="A902" s="35"/>
      <c r="B902" s="35"/>
      <c r="C902" s="35"/>
      <c r="D902" s="35"/>
      <c r="F902" s="66"/>
      <c r="H902" s="67"/>
      <c r="J902" s="67"/>
      <c r="K902" s="68"/>
      <c r="L902" s="67"/>
      <c r="N902" s="69"/>
      <c r="O902" s="6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</row>
    <row r="903">
      <c r="A903" s="35"/>
      <c r="B903" s="35"/>
      <c r="C903" s="35"/>
      <c r="D903" s="35"/>
      <c r="F903" s="66"/>
      <c r="H903" s="67"/>
      <c r="J903" s="67"/>
      <c r="K903" s="68"/>
      <c r="L903" s="67"/>
      <c r="N903" s="69"/>
      <c r="O903" s="6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</row>
    <row r="904">
      <c r="A904" s="35"/>
      <c r="B904" s="35"/>
      <c r="C904" s="35"/>
      <c r="D904" s="35"/>
      <c r="F904" s="66"/>
      <c r="H904" s="67"/>
      <c r="J904" s="67"/>
      <c r="K904" s="68"/>
      <c r="L904" s="67"/>
      <c r="N904" s="69"/>
      <c r="O904" s="6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</row>
    <row r="905">
      <c r="A905" s="35"/>
      <c r="B905" s="35"/>
      <c r="C905" s="35"/>
      <c r="D905" s="35"/>
      <c r="F905" s="66"/>
      <c r="H905" s="67"/>
      <c r="J905" s="67"/>
      <c r="K905" s="68"/>
      <c r="L905" s="67"/>
      <c r="N905" s="69"/>
      <c r="O905" s="6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</row>
    <row r="906">
      <c r="A906" s="35"/>
      <c r="B906" s="35"/>
      <c r="C906" s="35"/>
      <c r="D906" s="35"/>
      <c r="F906" s="66"/>
      <c r="H906" s="67"/>
      <c r="J906" s="67"/>
      <c r="K906" s="68"/>
      <c r="L906" s="67"/>
      <c r="N906" s="69"/>
      <c r="O906" s="6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</row>
    <row r="907">
      <c r="A907" s="35"/>
      <c r="B907" s="35"/>
      <c r="C907" s="35"/>
      <c r="D907" s="35"/>
      <c r="F907" s="66"/>
      <c r="H907" s="67"/>
      <c r="J907" s="67"/>
      <c r="K907" s="68"/>
      <c r="L907" s="67"/>
      <c r="N907" s="69"/>
      <c r="O907" s="6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</row>
    <row r="908">
      <c r="A908" s="35"/>
      <c r="B908" s="35"/>
      <c r="C908" s="35"/>
      <c r="D908" s="35"/>
      <c r="F908" s="66"/>
      <c r="H908" s="67"/>
      <c r="J908" s="67"/>
      <c r="K908" s="68"/>
      <c r="L908" s="67"/>
      <c r="N908" s="69"/>
      <c r="O908" s="6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</row>
    <row r="909">
      <c r="A909" s="35"/>
      <c r="B909" s="35"/>
      <c r="C909" s="35"/>
      <c r="D909" s="35"/>
      <c r="F909" s="66"/>
      <c r="H909" s="67"/>
      <c r="J909" s="67"/>
      <c r="K909" s="68"/>
      <c r="L909" s="67"/>
      <c r="N909" s="69"/>
      <c r="O909" s="6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</row>
    <row r="910">
      <c r="A910" s="35"/>
      <c r="B910" s="35"/>
      <c r="C910" s="35"/>
      <c r="D910" s="35"/>
      <c r="F910" s="66"/>
      <c r="H910" s="67"/>
      <c r="J910" s="67"/>
      <c r="K910" s="68"/>
      <c r="L910" s="67"/>
      <c r="N910" s="69"/>
      <c r="O910" s="6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</row>
    <row r="911">
      <c r="A911" s="35"/>
      <c r="B911" s="35"/>
      <c r="C911" s="35"/>
      <c r="D911" s="35"/>
      <c r="F911" s="66"/>
      <c r="H911" s="67"/>
      <c r="J911" s="67"/>
      <c r="K911" s="68"/>
      <c r="L911" s="67"/>
      <c r="N911" s="69"/>
      <c r="O911" s="6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</row>
    <row r="912">
      <c r="A912" s="35"/>
      <c r="B912" s="35"/>
      <c r="C912" s="35"/>
      <c r="D912" s="35"/>
      <c r="F912" s="66"/>
      <c r="H912" s="67"/>
      <c r="J912" s="67"/>
      <c r="K912" s="68"/>
      <c r="L912" s="67"/>
      <c r="N912" s="69"/>
      <c r="O912" s="6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</row>
    <row r="913">
      <c r="A913" s="35"/>
      <c r="B913" s="35"/>
      <c r="C913" s="35"/>
      <c r="D913" s="35"/>
      <c r="F913" s="66"/>
      <c r="H913" s="67"/>
      <c r="J913" s="67"/>
      <c r="K913" s="68"/>
      <c r="L913" s="67"/>
      <c r="N913" s="69"/>
      <c r="O913" s="6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</row>
    <row r="914">
      <c r="A914" s="35"/>
      <c r="B914" s="35"/>
      <c r="C914" s="35"/>
      <c r="D914" s="35"/>
      <c r="F914" s="66"/>
      <c r="H914" s="67"/>
      <c r="J914" s="67"/>
      <c r="K914" s="68"/>
      <c r="L914" s="67"/>
      <c r="N914" s="69"/>
      <c r="O914" s="6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</row>
    <row r="915">
      <c r="A915" s="35"/>
      <c r="B915" s="35"/>
      <c r="C915" s="35"/>
      <c r="D915" s="35"/>
      <c r="F915" s="66"/>
      <c r="H915" s="67"/>
      <c r="J915" s="67"/>
      <c r="K915" s="68"/>
      <c r="L915" s="67"/>
      <c r="N915" s="69"/>
      <c r="O915" s="6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</row>
    <row r="916">
      <c r="A916" s="35"/>
      <c r="B916" s="35"/>
      <c r="C916" s="35"/>
      <c r="D916" s="35"/>
      <c r="F916" s="66"/>
      <c r="H916" s="67"/>
      <c r="J916" s="67"/>
      <c r="K916" s="68"/>
      <c r="L916" s="67"/>
      <c r="N916" s="69"/>
      <c r="O916" s="6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</row>
    <row r="917">
      <c r="A917" s="35"/>
      <c r="B917" s="35"/>
      <c r="C917" s="35"/>
      <c r="D917" s="35"/>
      <c r="F917" s="66"/>
      <c r="H917" s="67"/>
      <c r="J917" s="67"/>
      <c r="K917" s="68"/>
      <c r="L917" s="67"/>
      <c r="N917" s="69"/>
      <c r="O917" s="6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</row>
    <row r="918">
      <c r="A918" s="35"/>
      <c r="B918" s="35"/>
      <c r="C918" s="35"/>
      <c r="D918" s="35"/>
      <c r="F918" s="66"/>
      <c r="H918" s="67"/>
      <c r="J918" s="67"/>
      <c r="K918" s="68"/>
      <c r="L918" s="67"/>
      <c r="N918" s="69"/>
      <c r="O918" s="6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</row>
    <row r="919">
      <c r="A919" s="35"/>
      <c r="B919" s="35"/>
      <c r="C919" s="35"/>
      <c r="D919" s="35"/>
      <c r="F919" s="66"/>
      <c r="H919" s="67"/>
      <c r="J919" s="67"/>
      <c r="K919" s="68"/>
      <c r="L919" s="67"/>
      <c r="N919" s="69"/>
      <c r="O919" s="6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</row>
    <row r="920">
      <c r="A920" s="35"/>
      <c r="B920" s="35"/>
      <c r="C920" s="35"/>
      <c r="D920" s="35"/>
      <c r="F920" s="66"/>
      <c r="H920" s="67"/>
      <c r="J920" s="67"/>
      <c r="K920" s="68"/>
      <c r="L920" s="67"/>
      <c r="N920" s="69"/>
      <c r="O920" s="6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</row>
    <row r="921">
      <c r="A921" s="35"/>
      <c r="B921" s="35"/>
      <c r="C921" s="35"/>
      <c r="D921" s="35"/>
      <c r="F921" s="66"/>
      <c r="H921" s="67"/>
      <c r="J921" s="67"/>
      <c r="K921" s="68"/>
      <c r="L921" s="67"/>
      <c r="N921" s="69"/>
      <c r="O921" s="6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</row>
    <row r="922">
      <c r="A922" s="35"/>
      <c r="B922" s="35"/>
      <c r="C922" s="35"/>
      <c r="D922" s="35"/>
      <c r="F922" s="66"/>
      <c r="H922" s="67"/>
      <c r="J922" s="67"/>
      <c r="K922" s="68"/>
      <c r="L922" s="67"/>
      <c r="N922" s="69"/>
      <c r="O922" s="6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</row>
    <row r="923">
      <c r="A923" s="35"/>
      <c r="B923" s="35"/>
      <c r="C923" s="35"/>
      <c r="D923" s="35"/>
      <c r="F923" s="66"/>
      <c r="H923" s="67"/>
      <c r="J923" s="67"/>
      <c r="K923" s="68"/>
      <c r="L923" s="67"/>
      <c r="N923" s="69"/>
      <c r="O923" s="6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</row>
    <row r="924">
      <c r="A924" s="35"/>
      <c r="B924" s="35"/>
      <c r="C924" s="35"/>
      <c r="D924" s="35"/>
      <c r="F924" s="66"/>
      <c r="H924" s="67"/>
      <c r="J924" s="67"/>
      <c r="K924" s="68"/>
      <c r="L924" s="67"/>
      <c r="N924" s="69"/>
      <c r="O924" s="6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</row>
    <row r="925">
      <c r="A925" s="35"/>
      <c r="B925" s="35"/>
      <c r="C925" s="35"/>
      <c r="D925" s="35"/>
      <c r="F925" s="66"/>
      <c r="H925" s="67"/>
      <c r="J925" s="67"/>
      <c r="K925" s="68"/>
      <c r="L925" s="67"/>
      <c r="N925" s="69"/>
      <c r="O925" s="6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</row>
    <row r="926">
      <c r="A926" s="35"/>
      <c r="B926" s="35"/>
      <c r="C926" s="35"/>
      <c r="D926" s="35"/>
      <c r="F926" s="66"/>
      <c r="H926" s="67"/>
      <c r="J926" s="67"/>
      <c r="K926" s="68"/>
      <c r="L926" s="67"/>
      <c r="N926" s="69"/>
      <c r="O926" s="6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</row>
    <row r="927">
      <c r="A927" s="35"/>
      <c r="B927" s="35"/>
      <c r="C927" s="35"/>
      <c r="D927" s="35"/>
      <c r="F927" s="66"/>
      <c r="H927" s="67"/>
      <c r="J927" s="67"/>
      <c r="K927" s="68"/>
      <c r="L927" s="67"/>
      <c r="N927" s="69"/>
      <c r="O927" s="6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</row>
    <row r="928">
      <c r="A928" s="35"/>
      <c r="B928" s="35"/>
      <c r="C928" s="35"/>
      <c r="D928" s="35"/>
      <c r="F928" s="66"/>
      <c r="H928" s="67"/>
      <c r="J928" s="67"/>
      <c r="K928" s="68"/>
      <c r="L928" s="67"/>
      <c r="N928" s="69"/>
      <c r="O928" s="6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</row>
    <row r="929">
      <c r="A929" s="35"/>
      <c r="B929" s="35"/>
      <c r="C929" s="35"/>
      <c r="D929" s="35"/>
      <c r="F929" s="66"/>
      <c r="H929" s="67"/>
      <c r="J929" s="67"/>
      <c r="K929" s="68"/>
      <c r="L929" s="67"/>
      <c r="N929" s="69"/>
      <c r="O929" s="6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</row>
    <row r="930">
      <c r="A930" s="35"/>
      <c r="B930" s="35"/>
      <c r="C930" s="35"/>
      <c r="D930" s="35"/>
      <c r="F930" s="66"/>
      <c r="H930" s="67"/>
      <c r="J930" s="67"/>
      <c r="K930" s="68"/>
      <c r="L930" s="67"/>
      <c r="N930" s="69"/>
      <c r="O930" s="6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</row>
    <row r="931">
      <c r="A931" s="35"/>
      <c r="B931" s="35"/>
      <c r="C931" s="35"/>
      <c r="D931" s="35"/>
      <c r="F931" s="66"/>
      <c r="H931" s="67"/>
      <c r="J931" s="67"/>
      <c r="K931" s="68"/>
      <c r="L931" s="67"/>
      <c r="N931" s="69"/>
      <c r="O931" s="6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</row>
    <row r="932">
      <c r="A932" s="35"/>
      <c r="B932" s="35"/>
      <c r="C932" s="35"/>
      <c r="D932" s="35"/>
      <c r="F932" s="66"/>
      <c r="H932" s="67"/>
      <c r="J932" s="67"/>
      <c r="K932" s="68"/>
      <c r="L932" s="67"/>
      <c r="N932" s="69"/>
      <c r="O932" s="6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</row>
    <row r="933">
      <c r="A933" s="35"/>
      <c r="B933" s="35"/>
      <c r="C933" s="35"/>
      <c r="D933" s="35"/>
      <c r="F933" s="66"/>
      <c r="H933" s="67"/>
      <c r="J933" s="67"/>
      <c r="K933" s="68"/>
      <c r="L933" s="67"/>
      <c r="N933" s="69"/>
      <c r="O933" s="6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</row>
    <row r="934">
      <c r="A934" s="35"/>
      <c r="B934" s="35"/>
      <c r="C934" s="35"/>
      <c r="D934" s="35"/>
      <c r="F934" s="66"/>
      <c r="H934" s="67"/>
      <c r="J934" s="67"/>
      <c r="K934" s="68"/>
      <c r="L934" s="67"/>
      <c r="N934" s="69"/>
      <c r="O934" s="6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</row>
    <row r="935">
      <c r="A935" s="35"/>
      <c r="B935" s="35"/>
      <c r="C935" s="35"/>
      <c r="D935" s="35"/>
      <c r="F935" s="66"/>
      <c r="H935" s="67"/>
      <c r="J935" s="67"/>
      <c r="K935" s="68"/>
      <c r="L935" s="67"/>
      <c r="N935" s="69"/>
      <c r="O935" s="6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</row>
    <row r="936">
      <c r="A936" s="35"/>
      <c r="B936" s="35"/>
      <c r="C936" s="35"/>
      <c r="D936" s="35"/>
      <c r="F936" s="66"/>
      <c r="H936" s="67"/>
      <c r="J936" s="67"/>
      <c r="K936" s="68"/>
      <c r="L936" s="67"/>
      <c r="N936" s="69"/>
      <c r="O936" s="6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</row>
    <row r="937">
      <c r="A937" s="35"/>
      <c r="B937" s="35"/>
      <c r="C937" s="35"/>
      <c r="D937" s="35"/>
      <c r="F937" s="66"/>
      <c r="H937" s="67"/>
      <c r="J937" s="67"/>
      <c r="K937" s="68"/>
      <c r="L937" s="67"/>
      <c r="N937" s="69"/>
      <c r="O937" s="6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</row>
    <row r="938">
      <c r="A938" s="35"/>
      <c r="B938" s="35"/>
      <c r="C938" s="35"/>
      <c r="D938" s="35"/>
      <c r="F938" s="66"/>
      <c r="H938" s="67"/>
      <c r="J938" s="67"/>
      <c r="K938" s="68"/>
      <c r="L938" s="67"/>
      <c r="N938" s="69"/>
      <c r="O938" s="6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</row>
    <row r="939">
      <c r="A939" s="35"/>
      <c r="B939" s="35"/>
      <c r="C939" s="35"/>
      <c r="D939" s="35"/>
      <c r="F939" s="66"/>
      <c r="H939" s="67"/>
      <c r="J939" s="67"/>
      <c r="K939" s="68"/>
      <c r="L939" s="67"/>
      <c r="N939" s="69"/>
      <c r="O939" s="6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</row>
    <row r="940">
      <c r="A940" s="35"/>
      <c r="B940" s="35"/>
      <c r="C940" s="35"/>
      <c r="D940" s="35"/>
      <c r="F940" s="66"/>
      <c r="H940" s="67"/>
      <c r="J940" s="67"/>
      <c r="K940" s="68"/>
      <c r="L940" s="67"/>
      <c r="N940" s="69"/>
      <c r="O940" s="6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</row>
    <row r="941">
      <c r="A941" s="35"/>
      <c r="B941" s="35"/>
      <c r="C941" s="35"/>
      <c r="D941" s="35"/>
      <c r="F941" s="66"/>
      <c r="H941" s="67"/>
      <c r="J941" s="67"/>
      <c r="K941" s="68"/>
      <c r="L941" s="67"/>
      <c r="N941" s="69"/>
      <c r="O941" s="6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</row>
    <row r="942">
      <c r="A942" s="35"/>
      <c r="B942" s="35"/>
      <c r="C942" s="35"/>
      <c r="D942" s="35"/>
      <c r="F942" s="66"/>
      <c r="H942" s="67"/>
      <c r="J942" s="67"/>
      <c r="K942" s="68"/>
      <c r="L942" s="67"/>
      <c r="N942" s="69"/>
      <c r="O942" s="6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</row>
    <row r="943">
      <c r="A943" s="35"/>
      <c r="B943" s="35"/>
      <c r="C943" s="35"/>
      <c r="D943" s="35"/>
      <c r="F943" s="66"/>
      <c r="H943" s="67"/>
      <c r="J943" s="67"/>
      <c r="K943" s="68"/>
      <c r="L943" s="67"/>
      <c r="N943" s="69"/>
      <c r="O943" s="6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</row>
    <row r="944">
      <c r="A944" s="35"/>
      <c r="B944" s="35"/>
      <c r="C944" s="35"/>
      <c r="D944" s="35"/>
      <c r="F944" s="66"/>
      <c r="H944" s="67"/>
      <c r="J944" s="67"/>
      <c r="K944" s="68"/>
      <c r="L944" s="67"/>
      <c r="N944" s="69"/>
      <c r="O944" s="6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</row>
    <row r="945">
      <c r="A945" s="35"/>
      <c r="B945" s="35"/>
      <c r="C945" s="35"/>
      <c r="D945" s="35"/>
      <c r="F945" s="66"/>
      <c r="H945" s="67"/>
      <c r="J945" s="67"/>
      <c r="K945" s="68"/>
      <c r="L945" s="67"/>
      <c r="N945" s="69"/>
      <c r="O945" s="6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</row>
    <row r="946">
      <c r="A946" s="35"/>
      <c r="B946" s="35"/>
      <c r="C946" s="35"/>
      <c r="D946" s="35"/>
      <c r="F946" s="66"/>
      <c r="H946" s="67"/>
      <c r="J946" s="67"/>
      <c r="K946" s="68"/>
      <c r="L946" s="67"/>
      <c r="N946" s="69"/>
      <c r="O946" s="6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</row>
    <row r="947">
      <c r="A947" s="35"/>
      <c r="B947" s="35"/>
      <c r="C947" s="35"/>
      <c r="D947" s="35"/>
      <c r="F947" s="66"/>
      <c r="H947" s="67"/>
      <c r="J947" s="67"/>
      <c r="K947" s="68"/>
      <c r="L947" s="67"/>
      <c r="N947" s="69"/>
      <c r="O947" s="6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</row>
    <row r="948">
      <c r="A948" s="35"/>
      <c r="B948" s="35"/>
      <c r="C948" s="35"/>
      <c r="D948" s="35"/>
      <c r="F948" s="66"/>
      <c r="H948" s="67"/>
      <c r="J948" s="67"/>
      <c r="K948" s="68"/>
      <c r="L948" s="67"/>
      <c r="N948" s="69"/>
      <c r="O948" s="6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</row>
    <row r="949">
      <c r="A949" s="35"/>
      <c r="B949" s="35"/>
      <c r="C949" s="35"/>
      <c r="D949" s="35"/>
      <c r="F949" s="66"/>
      <c r="H949" s="67"/>
      <c r="J949" s="67"/>
      <c r="K949" s="68"/>
      <c r="L949" s="67"/>
      <c r="N949" s="69"/>
      <c r="O949" s="6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</row>
    <row r="950">
      <c r="A950" s="35"/>
      <c r="B950" s="35"/>
      <c r="C950" s="35"/>
      <c r="D950" s="35"/>
      <c r="F950" s="66"/>
      <c r="H950" s="67"/>
      <c r="J950" s="67"/>
      <c r="K950" s="68"/>
      <c r="L950" s="67"/>
      <c r="N950" s="69"/>
      <c r="O950" s="6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</row>
    <row r="951">
      <c r="A951" s="35"/>
      <c r="B951" s="35"/>
      <c r="C951" s="35"/>
      <c r="D951" s="35"/>
      <c r="F951" s="66"/>
      <c r="H951" s="67"/>
      <c r="J951" s="67"/>
      <c r="K951" s="68"/>
      <c r="L951" s="67"/>
      <c r="N951" s="69"/>
      <c r="O951" s="6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</row>
    <row r="952">
      <c r="A952" s="35"/>
      <c r="B952" s="35"/>
      <c r="C952" s="35"/>
      <c r="D952" s="35"/>
      <c r="F952" s="66"/>
      <c r="H952" s="67"/>
      <c r="J952" s="67"/>
      <c r="K952" s="68"/>
      <c r="L952" s="67"/>
      <c r="N952" s="69"/>
      <c r="O952" s="6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</row>
    <row r="953">
      <c r="A953" s="35"/>
      <c r="B953" s="35"/>
      <c r="C953" s="35"/>
      <c r="D953" s="35"/>
      <c r="F953" s="66"/>
      <c r="H953" s="67"/>
      <c r="J953" s="67"/>
      <c r="K953" s="68"/>
      <c r="L953" s="67"/>
      <c r="N953" s="69"/>
      <c r="O953" s="6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</row>
    <row r="954">
      <c r="A954" s="35"/>
      <c r="B954" s="35"/>
      <c r="C954" s="35"/>
      <c r="D954" s="35"/>
      <c r="F954" s="66"/>
      <c r="H954" s="67"/>
      <c r="J954" s="67"/>
      <c r="K954" s="68"/>
      <c r="L954" s="67"/>
      <c r="N954" s="69"/>
      <c r="O954" s="6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</row>
    <row r="955">
      <c r="A955" s="35"/>
      <c r="B955" s="35"/>
      <c r="C955" s="35"/>
      <c r="D955" s="35"/>
      <c r="F955" s="66"/>
      <c r="H955" s="67"/>
      <c r="J955" s="67"/>
      <c r="K955" s="68"/>
      <c r="L955" s="67"/>
      <c r="N955" s="69"/>
      <c r="O955" s="6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</row>
    <row r="956">
      <c r="A956" s="35"/>
      <c r="B956" s="35"/>
      <c r="C956" s="35"/>
      <c r="D956" s="35"/>
      <c r="F956" s="66"/>
      <c r="H956" s="67"/>
      <c r="J956" s="67"/>
      <c r="K956" s="68"/>
      <c r="L956" s="67"/>
      <c r="N956" s="69"/>
      <c r="O956" s="6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</row>
    <row r="957">
      <c r="A957" s="35"/>
      <c r="B957" s="35"/>
      <c r="C957" s="35"/>
      <c r="D957" s="35"/>
      <c r="F957" s="66"/>
      <c r="H957" s="67"/>
      <c r="J957" s="67"/>
      <c r="K957" s="68"/>
      <c r="L957" s="67"/>
      <c r="N957" s="69"/>
      <c r="O957" s="6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</row>
    <row r="958">
      <c r="A958" s="35"/>
      <c r="B958" s="35"/>
      <c r="C958" s="35"/>
      <c r="D958" s="35"/>
      <c r="F958" s="66"/>
      <c r="H958" s="67"/>
      <c r="J958" s="67"/>
      <c r="K958" s="68"/>
      <c r="L958" s="67"/>
      <c r="N958" s="69"/>
      <c r="O958" s="6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</row>
    <row r="959">
      <c r="A959" s="35"/>
      <c r="B959" s="35"/>
      <c r="C959" s="35"/>
      <c r="D959" s="35"/>
      <c r="F959" s="66"/>
      <c r="H959" s="67"/>
      <c r="J959" s="67"/>
      <c r="K959" s="68"/>
      <c r="L959" s="67"/>
      <c r="N959" s="69"/>
      <c r="O959" s="6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</row>
    <row r="960">
      <c r="A960" s="35"/>
      <c r="B960" s="35"/>
      <c r="C960" s="35"/>
      <c r="D960" s="35"/>
      <c r="F960" s="66"/>
      <c r="H960" s="67"/>
      <c r="J960" s="67"/>
      <c r="K960" s="68"/>
      <c r="L960" s="67"/>
      <c r="N960" s="69"/>
      <c r="O960" s="6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</row>
    <row r="961">
      <c r="A961" s="35"/>
      <c r="B961" s="35"/>
      <c r="C961" s="35"/>
      <c r="D961" s="35"/>
      <c r="F961" s="66"/>
      <c r="H961" s="67"/>
      <c r="J961" s="67"/>
      <c r="K961" s="68"/>
      <c r="L961" s="67"/>
      <c r="N961" s="69"/>
      <c r="O961" s="6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</row>
    <row r="962">
      <c r="A962" s="35"/>
      <c r="B962" s="35"/>
      <c r="C962" s="35"/>
      <c r="D962" s="35"/>
      <c r="F962" s="66"/>
      <c r="H962" s="67"/>
      <c r="J962" s="67"/>
      <c r="K962" s="68"/>
      <c r="L962" s="67"/>
      <c r="N962" s="69"/>
      <c r="O962" s="6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</row>
    <row r="963">
      <c r="A963" s="35"/>
      <c r="B963" s="35"/>
      <c r="C963" s="35"/>
      <c r="D963" s="35"/>
      <c r="F963" s="66"/>
      <c r="H963" s="67"/>
      <c r="J963" s="67"/>
      <c r="K963" s="68"/>
      <c r="L963" s="67"/>
      <c r="N963" s="69"/>
      <c r="O963" s="6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</row>
    <row r="964">
      <c r="A964" s="35"/>
      <c r="B964" s="35"/>
      <c r="C964" s="35"/>
      <c r="D964" s="35"/>
      <c r="F964" s="66"/>
      <c r="H964" s="67"/>
      <c r="J964" s="67"/>
      <c r="K964" s="68"/>
      <c r="L964" s="67"/>
      <c r="N964" s="69"/>
      <c r="O964" s="6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</row>
    <row r="965">
      <c r="A965" s="35"/>
      <c r="B965" s="35"/>
      <c r="C965" s="35"/>
      <c r="D965" s="35"/>
      <c r="F965" s="66"/>
      <c r="H965" s="67"/>
      <c r="J965" s="67"/>
      <c r="K965" s="68"/>
      <c r="L965" s="67"/>
      <c r="N965" s="69"/>
      <c r="O965" s="6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</row>
    <row r="966">
      <c r="A966" s="35"/>
      <c r="B966" s="35"/>
      <c r="C966" s="35"/>
      <c r="D966" s="35"/>
      <c r="F966" s="66"/>
      <c r="H966" s="67"/>
      <c r="J966" s="67"/>
      <c r="K966" s="68"/>
      <c r="L966" s="67"/>
      <c r="N966" s="69"/>
      <c r="O966" s="6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</row>
    <row r="967">
      <c r="A967" s="35"/>
      <c r="B967" s="35"/>
      <c r="C967" s="35"/>
      <c r="D967" s="35"/>
      <c r="F967" s="66"/>
      <c r="H967" s="67"/>
      <c r="J967" s="67"/>
      <c r="K967" s="68"/>
      <c r="L967" s="67"/>
      <c r="N967" s="69"/>
      <c r="O967" s="6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</row>
    <row r="968">
      <c r="A968" s="35"/>
      <c r="B968" s="35"/>
      <c r="C968" s="35"/>
      <c r="D968" s="35"/>
      <c r="F968" s="66"/>
      <c r="H968" s="67"/>
      <c r="J968" s="67"/>
      <c r="K968" s="68"/>
      <c r="L968" s="67"/>
      <c r="N968" s="69"/>
      <c r="O968" s="6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</row>
    <row r="969">
      <c r="A969" s="35"/>
      <c r="B969" s="35"/>
      <c r="C969" s="35"/>
      <c r="D969" s="35"/>
      <c r="F969" s="66"/>
      <c r="H969" s="67"/>
      <c r="J969" s="67"/>
      <c r="K969" s="68"/>
      <c r="L969" s="67"/>
      <c r="N969" s="69"/>
      <c r="O969" s="6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</row>
    <row r="970">
      <c r="A970" s="35"/>
      <c r="B970" s="35"/>
      <c r="C970" s="35"/>
      <c r="D970" s="35"/>
      <c r="F970" s="66"/>
      <c r="H970" s="67"/>
      <c r="J970" s="67"/>
      <c r="K970" s="68"/>
      <c r="L970" s="67"/>
      <c r="N970" s="69"/>
      <c r="O970" s="6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</row>
    <row r="971">
      <c r="A971" s="35"/>
      <c r="B971" s="35"/>
      <c r="C971" s="35"/>
      <c r="D971" s="35"/>
      <c r="F971" s="66"/>
      <c r="H971" s="67"/>
      <c r="J971" s="67"/>
      <c r="K971" s="68"/>
      <c r="L971" s="67"/>
      <c r="N971" s="69"/>
      <c r="O971" s="6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</row>
    <row r="972">
      <c r="A972" s="35"/>
      <c r="B972" s="35"/>
      <c r="C972" s="35"/>
      <c r="D972" s="35"/>
      <c r="F972" s="66"/>
      <c r="H972" s="67"/>
      <c r="J972" s="67"/>
      <c r="K972" s="68"/>
      <c r="L972" s="67"/>
      <c r="N972" s="69"/>
      <c r="O972" s="6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</row>
    <row r="973">
      <c r="A973" s="35"/>
      <c r="B973" s="35"/>
      <c r="C973" s="35"/>
      <c r="D973" s="35"/>
      <c r="F973" s="66"/>
      <c r="H973" s="67"/>
      <c r="J973" s="67"/>
      <c r="K973" s="68"/>
      <c r="L973" s="67"/>
      <c r="N973" s="69"/>
      <c r="O973" s="6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</row>
    <row r="974">
      <c r="A974" s="35"/>
      <c r="B974" s="35"/>
      <c r="C974" s="35"/>
      <c r="D974" s="35"/>
      <c r="F974" s="66"/>
      <c r="H974" s="67"/>
      <c r="J974" s="67"/>
      <c r="K974" s="68"/>
      <c r="L974" s="67"/>
      <c r="N974" s="69"/>
      <c r="O974" s="6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</row>
    <row r="975">
      <c r="A975" s="35"/>
      <c r="B975" s="35"/>
      <c r="C975" s="35"/>
      <c r="D975" s="35"/>
      <c r="F975" s="66"/>
      <c r="H975" s="67"/>
      <c r="J975" s="67"/>
      <c r="K975" s="68"/>
      <c r="L975" s="67"/>
      <c r="N975" s="69"/>
      <c r="O975" s="6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</row>
    <row r="976">
      <c r="A976" s="35"/>
      <c r="B976" s="35"/>
      <c r="C976" s="35"/>
      <c r="D976" s="35"/>
      <c r="F976" s="66"/>
      <c r="H976" s="67"/>
      <c r="J976" s="67"/>
      <c r="K976" s="68"/>
      <c r="L976" s="67"/>
      <c r="N976" s="69"/>
      <c r="O976" s="6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</row>
    <row r="977">
      <c r="A977" s="35"/>
      <c r="B977" s="35"/>
      <c r="C977" s="35"/>
      <c r="D977" s="35"/>
      <c r="F977" s="66"/>
      <c r="H977" s="67"/>
      <c r="J977" s="67"/>
      <c r="K977" s="68"/>
      <c r="L977" s="67"/>
      <c r="N977" s="69"/>
      <c r="O977" s="6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</row>
    <row r="978">
      <c r="A978" s="35"/>
      <c r="B978" s="35"/>
      <c r="C978" s="35"/>
      <c r="D978" s="35"/>
      <c r="F978" s="66"/>
      <c r="H978" s="67"/>
      <c r="J978" s="67"/>
      <c r="K978" s="68"/>
      <c r="L978" s="67"/>
      <c r="N978" s="69"/>
      <c r="O978" s="6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</row>
    <row r="979">
      <c r="A979" s="35"/>
      <c r="B979" s="35"/>
      <c r="C979" s="35"/>
      <c r="D979" s="35"/>
      <c r="F979" s="66"/>
      <c r="H979" s="67"/>
      <c r="J979" s="67"/>
      <c r="K979" s="68"/>
      <c r="L979" s="67"/>
      <c r="N979" s="69"/>
      <c r="O979" s="6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</row>
    <row r="980">
      <c r="A980" s="35"/>
      <c r="B980" s="35"/>
      <c r="C980" s="35"/>
      <c r="D980" s="35"/>
      <c r="F980" s="66"/>
      <c r="H980" s="67"/>
      <c r="J980" s="67"/>
      <c r="K980" s="68"/>
      <c r="L980" s="67"/>
      <c r="N980" s="69"/>
      <c r="O980" s="6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</row>
    <row r="981">
      <c r="A981" s="35"/>
      <c r="B981" s="35"/>
      <c r="C981" s="35"/>
      <c r="D981" s="35"/>
      <c r="F981" s="66"/>
      <c r="H981" s="67"/>
      <c r="J981" s="67"/>
      <c r="K981" s="68"/>
      <c r="L981" s="67"/>
      <c r="N981" s="69"/>
      <c r="O981" s="6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</row>
    <row r="982">
      <c r="A982" s="35"/>
      <c r="B982" s="35"/>
      <c r="C982" s="35"/>
      <c r="D982" s="35"/>
      <c r="F982" s="66"/>
      <c r="H982" s="67"/>
      <c r="J982" s="67"/>
      <c r="K982" s="68"/>
      <c r="L982" s="67"/>
      <c r="N982" s="69"/>
      <c r="O982" s="6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</row>
    <row r="983">
      <c r="A983" s="35"/>
      <c r="B983" s="35"/>
      <c r="C983" s="35"/>
      <c r="D983" s="35"/>
      <c r="F983" s="66"/>
      <c r="H983" s="67"/>
      <c r="J983" s="67"/>
      <c r="K983" s="68"/>
      <c r="L983" s="67"/>
      <c r="N983" s="69"/>
      <c r="O983" s="6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</row>
    <row r="984">
      <c r="A984" s="35"/>
      <c r="B984" s="35"/>
      <c r="C984" s="35"/>
      <c r="D984" s="35"/>
      <c r="F984" s="66"/>
      <c r="H984" s="67"/>
      <c r="J984" s="67"/>
      <c r="K984" s="68"/>
      <c r="L984" s="67"/>
      <c r="N984" s="69"/>
      <c r="O984" s="6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</row>
    <row r="985">
      <c r="A985" s="35"/>
      <c r="B985" s="35"/>
      <c r="C985" s="35"/>
      <c r="D985" s="35"/>
      <c r="F985" s="66"/>
      <c r="H985" s="67"/>
      <c r="J985" s="67"/>
      <c r="K985" s="68"/>
      <c r="L985" s="67"/>
      <c r="N985" s="69"/>
      <c r="O985" s="6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</row>
    <row r="986">
      <c r="A986" s="35"/>
      <c r="B986" s="35"/>
      <c r="C986" s="35"/>
      <c r="D986" s="35"/>
      <c r="F986" s="66"/>
      <c r="H986" s="67"/>
      <c r="J986" s="67"/>
      <c r="K986" s="68"/>
      <c r="L986" s="67"/>
      <c r="N986" s="69"/>
      <c r="O986" s="6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</row>
    <row r="987">
      <c r="A987" s="35"/>
      <c r="B987" s="35"/>
      <c r="C987" s="35"/>
      <c r="D987" s="35"/>
      <c r="F987" s="66"/>
      <c r="H987" s="67"/>
      <c r="J987" s="67"/>
      <c r="K987" s="68"/>
      <c r="L987" s="67"/>
      <c r="N987" s="69"/>
      <c r="O987" s="6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</row>
    <row r="988">
      <c r="A988" s="35"/>
      <c r="B988" s="35"/>
      <c r="C988" s="35"/>
      <c r="D988" s="35"/>
      <c r="F988" s="66"/>
      <c r="H988" s="67"/>
      <c r="J988" s="67"/>
      <c r="K988" s="68"/>
      <c r="L988" s="67"/>
      <c r="N988" s="69"/>
      <c r="O988" s="6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</row>
    <row r="989">
      <c r="A989" s="35"/>
      <c r="B989" s="35"/>
      <c r="C989" s="35"/>
      <c r="D989" s="35"/>
      <c r="F989" s="66"/>
      <c r="H989" s="67"/>
      <c r="J989" s="67"/>
      <c r="K989" s="68"/>
      <c r="L989" s="67"/>
      <c r="N989" s="69"/>
      <c r="O989" s="6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</row>
    <row r="990">
      <c r="A990" s="35"/>
      <c r="B990" s="35"/>
      <c r="C990" s="35"/>
      <c r="D990" s="35"/>
      <c r="F990" s="66"/>
      <c r="H990" s="67"/>
      <c r="J990" s="67"/>
      <c r="K990" s="68"/>
      <c r="L990" s="67"/>
      <c r="N990" s="69"/>
      <c r="O990" s="6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</row>
    <row r="991">
      <c r="A991" s="35"/>
      <c r="B991" s="35"/>
      <c r="C991" s="35"/>
      <c r="D991" s="35"/>
      <c r="F991" s="66"/>
      <c r="H991" s="67"/>
      <c r="J991" s="67"/>
      <c r="K991" s="68"/>
      <c r="L991" s="67"/>
      <c r="N991" s="69"/>
      <c r="O991" s="6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</row>
    <row r="992">
      <c r="A992" s="35"/>
      <c r="B992" s="35"/>
      <c r="C992" s="35"/>
      <c r="D992" s="35"/>
      <c r="F992" s="66"/>
      <c r="H992" s="67"/>
      <c r="J992" s="67"/>
      <c r="K992" s="68"/>
      <c r="L992" s="67"/>
      <c r="N992" s="69"/>
      <c r="O992" s="6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</row>
    <row r="993">
      <c r="A993" s="35"/>
      <c r="B993" s="35"/>
      <c r="C993" s="35"/>
      <c r="D993" s="35"/>
      <c r="F993" s="66"/>
      <c r="H993" s="67"/>
      <c r="J993" s="67"/>
      <c r="K993" s="68"/>
      <c r="L993" s="67"/>
      <c r="N993" s="69"/>
      <c r="O993" s="6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</row>
    <row r="994">
      <c r="A994" s="35"/>
      <c r="B994" s="35"/>
      <c r="C994" s="35"/>
      <c r="D994" s="35"/>
      <c r="F994" s="66"/>
      <c r="H994" s="67"/>
      <c r="J994" s="67"/>
      <c r="K994" s="68"/>
      <c r="L994" s="67"/>
      <c r="N994" s="69"/>
      <c r="O994" s="6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</row>
    <row r="995">
      <c r="A995" s="35"/>
      <c r="B995" s="35"/>
      <c r="C995" s="35"/>
      <c r="D995" s="35"/>
      <c r="F995" s="66"/>
      <c r="H995" s="67"/>
      <c r="J995" s="67"/>
      <c r="K995" s="68"/>
      <c r="L995" s="67"/>
      <c r="N995" s="69"/>
      <c r="O995" s="6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</row>
    <row r="996">
      <c r="A996" s="35"/>
      <c r="B996" s="35"/>
      <c r="C996" s="35"/>
      <c r="D996" s="35"/>
      <c r="F996" s="66"/>
      <c r="H996" s="67"/>
      <c r="J996" s="67"/>
      <c r="K996" s="68"/>
      <c r="L996" s="67"/>
      <c r="N996" s="69"/>
      <c r="O996" s="6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</row>
    <row r="997">
      <c r="A997" s="35"/>
      <c r="B997" s="35"/>
      <c r="C997" s="35"/>
      <c r="D997" s="35"/>
      <c r="F997" s="66"/>
      <c r="H997" s="67"/>
      <c r="J997" s="67"/>
      <c r="K997" s="68"/>
      <c r="L997" s="67"/>
      <c r="N997" s="69"/>
      <c r="O997" s="6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</row>
    <row r="998">
      <c r="A998" s="35"/>
      <c r="B998" s="35"/>
      <c r="C998" s="35"/>
      <c r="D998" s="35"/>
      <c r="F998" s="66"/>
      <c r="H998" s="67"/>
      <c r="J998" s="67"/>
      <c r="K998" s="68"/>
      <c r="L998" s="67"/>
      <c r="N998" s="69"/>
      <c r="O998" s="6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</row>
    <row r="999">
      <c r="A999" s="35"/>
      <c r="B999" s="35"/>
      <c r="C999" s="35"/>
      <c r="D999" s="35"/>
      <c r="F999" s="66"/>
      <c r="H999" s="67"/>
      <c r="J999" s="67"/>
      <c r="K999" s="68"/>
      <c r="L999" s="67"/>
      <c r="N999" s="69"/>
      <c r="O999" s="6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</row>
    <row r="1000">
      <c r="A1000" s="35"/>
      <c r="B1000" s="35"/>
      <c r="C1000" s="35"/>
      <c r="D1000" s="35"/>
      <c r="F1000" s="66"/>
      <c r="H1000" s="67"/>
      <c r="J1000" s="67"/>
      <c r="K1000" s="68"/>
      <c r="L1000" s="67"/>
      <c r="N1000" s="69"/>
      <c r="O1000" s="6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2.0"/>
    <col customWidth="1" min="2" max="2" width="16.75"/>
    <col customWidth="1" min="3" max="3" width="17.0"/>
    <col customWidth="1" min="4" max="4" width="15.38"/>
    <col customWidth="1" min="5" max="5" width="10.0"/>
    <col customWidth="1" min="7" max="7" width="14.88"/>
    <col customWidth="1" min="8" max="8" width="22.25"/>
  </cols>
  <sheetData>
    <row r="1" ht="27.0" customHeight="1">
      <c r="A1" s="70" t="s">
        <v>112</v>
      </c>
    </row>
    <row r="2" ht="24.75" customHeight="1">
      <c r="A2" s="71" t="s">
        <v>47</v>
      </c>
      <c r="B2" s="72" t="s">
        <v>113</v>
      </c>
      <c r="C2" s="73" t="s">
        <v>114</v>
      </c>
      <c r="D2" s="73" t="s">
        <v>115</v>
      </c>
      <c r="E2" s="73" t="s">
        <v>116</v>
      </c>
      <c r="F2" s="73" t="s">
        <v>117</v>
      </c>
      <c r="G2" s="73" t="s">
        <v>118</v>
      </c>
      <c r="H2" s="74" t="s">
        <v>119</v>
      </c>
    </row>
    <row r="3" ht="30.0" customHeight="1">
      <c r="B3" s="75" t="str">
        <f>vlookup(A2,'Player Stats Master File'!A2:B528,2,FALSE)</f>
        <v>F</v>
      </c>
      <c r="C3" s="76">
        <f>sumif('Player Stats Master File'!A:A,A2,'Player Stats Master File'!F:F)</f>
        <v>27.86828086</v>
      </c>
      <c r="D3" s="76">
        <f>sumif('Player Stats Master File'!A:A,A2,'Player Stats Master File'!H:H)</f>
        <v>2.676267784</v>
      </c>
      <c r="E3" s="76">
        <f>sumif('Player Stats Master File'!A:A,A2,'Player Stats Master File'!J:J)</f>
        <v>11.34351791</v>
      </c>
      <c r="F3" s="76">
        <f>sumif('Player Stats Master File'!A:A,A2,'Player Stats Master File'!L:L)</f>
        <v>2.044929362</v>
      </c>
      <c r="G3" s="76">
        <f>sumif('Player Stats Master File'!A:A,A2,'Player Stats Master File'!N:N)</f>
        <v>0.8988057305</v>
      </c>
      <c r="H3" s="77">
        <f>sum(C3:G3)</f>
        <v>44.83180165</v>
      </c>
    </row>
    <row r="4">
      <c r="H4" s="78" t="s">
        <v>120</v>
      </c>
    </row>
    <row r="5" ht="22.5" customHeight="1">
      <c r="H5" s="79">
        <f>sum(C7:C26)</f>
        <v>50.25</v>
      </c>
    </row>
    <row r="6">
      <c r="A6" s="80" t="s">
        <v>121</v>
      </c>
      <c r="C6" s="71" t="s">
        <v>122</v>
      </c>
      <c r="H6" s="81" t="s">
        <v>123</v>
      </c>
    </row>
    <row r="7">
      <c r="A7" s="82" t="s">
        <v>16</v>
      </c>
      <c r="B7" s="71">
        <v>3.0</v>
      </c>
      <c r="C7" s="83">
        <f>(sumif('Player Winning &amp; Accolades Mast'!A:A,A2,'Player Winning &amp; Accolades Mast'!B:B))*B7</f>
        <v>3</v>
      </c>
      <c r="F7" s="84"/>
      <c r="G7" s="84"/>
      <c r="H7" s="85">
        <f>H5+H3</f>
        <v>95.08180165</v>
      </c>
    </row>
    <row r="8">
      <c r="A8" s="82" t="s">
        <v>17</v>
      </c>
      <c r="B8" s="71">
        <v>2.0</v>
      </c>
      <c r="C8" s="83">
        <f>(sumif('Player Winning &amp; Accolades Mast'!A:A,A2,'Player Winning &amp; Accolades Mast'!C:C))*B8</f>
        <v>8</v>
      </c>
    </row>
    <row r="9">
      <c r="A9" s="82" t="s">
        <v>18</v>
      </c>
      <c r="B9" s="71">
        <v>1.0</v>
      </c>
      <c r="C9" s="83">
        <f>(sumif('Player Winning &amp; Accolades Mast'!A:A,A2,'Player Winning &amp; Accolades Mast'!D:D))*B9</f>
        <v>2</v>
      </c>
    </row>
    <row r="10">
      <c r="A10" s="82" t="s">
        <v>19</v>
      </c>
      <c r="B10" s="71">
        <v>2.0</v>
      </c>
      <c r="C10" s="83">
        <f>(sumif('Player Winning &amp; Accolades Mast'!A:A,A2,'Player Winning &amp; Accolades Mast'!E:E))*B10</f>
        <v>0</v>
      </c>
    </row>
    <row r="11">
      <c r="A11" s="82" t="s">
        <v>20</v>
      </c>
      <c r="B11" s="71">
        <v>1.0</v>
      </c>
      <c r="C11" s="83">
        <f>(sumif('Player Winning &amp; Accolades Mast'!A:A,A2,'Player Winning &amp; Accolades Mast'!F:F))*B11</f>
        <v>0</v>
      </c>
    </row>
    <row r="12">
      <c r="A12" s="82" t="s">
        <v>22</v>
      </c>
      <c r="B12" s="71">
        <v>4.0</v>
      </c>
      <c r="C12" s="83">
        <f>sumif('Player Winning &amp; Accolades Mast'!A:A,A2,'Player Winning &amp; Accolades Mast'!H:H)*B12</f>
        <v>0</v>
      </c>
    </row>
    <row r="13">
      <c r="A13" s="82" t="s">
        <v>23</v>
      </c>
      <c r="B13" s="71">
        <v>2.0</v>
      </c>
      <c r="C13" s="83">
        <f>sumif('Player Winning &amp; Accolades Mast'!A:A,A2,'Player Winning &amp; Accolades Mast'!I:I)*B13</f>
        <v>0</v>
      </c>
    </row>
    <row r="14">
      <c r="A14" s="82" t="s">
        <v>24</v>
      </c>
      <c r="B14" s="71">
        <v>5.0</v>
      </c>
      <c r="C14" s="83">
        <f>sumif('Player Winning &amp; Accolades Mast'!A:A,A2,'Player Winning &amp; Accolades Mast'!J:J)*B14</f>
        <v>0</v>
      </c>
    </row>
    <row r="15">
      <c r="A15" s="82" t="s">
        <v>25</v>
      </c>
      <c r="B15" s="71">
        <v>4.0</v>
      </c>
      <c r="C15" s="83">
        <f>sumif('Player Winning &amp; Accolades Mast'!A:A,A2,'Player Winning &amp; Accolades Mast'!K:K)*B15</f>
        <v>0</v>
      </c>
    </row>
    <row r="16">
      <c r="A16" s="82" t="s">
        <v>26</v>
      </c>
      <c r="B16" s="71">
        <v>3.0</v>
      </c>
      <c r="C16" s="83">
        <f>sumif('Player Winning &amp; Accolades Mast'!A:A,A2,'Player Winning &amp; Accolades Mast'!L:L)*B16</f>
        <v>0</v>
      </c>
    </row>
    <row r="17">
      <c r="A17" s="82" t="s">
        <v>27</v>
      </c>
      <c r="B17" s="71">
        <v>2.0</v>
      </c>
      <c r="C17" s="83">
        <f>sumif('Player Winning &amp; Accolades Mast'!A:A,A2,'Player Winning &amp; Accolades Mast'!M:M)*B17</f>
        <v>0</v>
      </c>
    </row>
    <row r="18">
      <c r="A18" s="86" t="s">
        <v>28</v>
      </c>
      <c r="B18" s="71">
        <v>0.25</v>
      </c>
      <c r="C18" s="83">
        <f>sumif('Player Winning &amp; Accolades Mast'!A:A,A2,'Player Winning &amp; Accolades Mast'!N:N)*B18</f>
        <v>1.75</v>
      </c>
    </row>
    <row r="19">
      <c r="A19" s="82" t="s">
        <v>29</v>
      </c>
      <c r="B19" s="71">
        <v>1.5</v>
      </c>
      <c r="C19" s="83">
        <f>sumif('Player Winning &amp; Accolades Mast'!A:A,A2,'Player Winning &amp; Accolades Mast'!O:O)*B19</f>
        <v>1.5</v>
      </c>
    </row>
    <row r="20">
      <c r="A20" s="82" t="s">
        <v>30</v>
      </c>
      <c r="B20" s="71">
        <v>1.0</v>
      </c>
      <c r="C20" s="83">
        <f>sumif('Player Winning &amp; Accolades Mast'!A:A,A2,'Player Winning &amp; Accolades Mast'!P:P)*B20</f>
        <v>0</v>
      </c>
    </row>
    <row r="21">
      <c r="A21" s="82" t="s">
        <v>31</v>
      </c>
      <c r="B21" s="71">
        <v>1.0</v>
      </c>
      <c r="C21" s="83">
        <f>sumif('Player Winning &amp; Accolades Mast'!A:A,A2,'Player Winning &amp; Accolades Mast'!Q:Q)*B21</f>
        <v>0</v>
      </c>
    </row>
    <row r="22">
      <c r="A22" s="82" t="s">
        <v>32</v>
      </c>
      <c r="B22" s="71">
        <v>1.0</v>
      </c>
      <c r="C22" s="83">
        <f>sumif('Player Winning &amp; Accolades Mast'!A:A,A2,'Player Winning &amp; Accolades Mast'!R:R)*B22</f>
        <v>0</v>
      </c>
    </row>
    <row r="23">
      <c r="A23" s="82" t="s">
        <v>33</v>
      </c>
      <c r="B23" s="71">
        <v>1.0</v>
      </c>
      <c r="C23" s="83">
        <f>sumif('Player Winning &amp; Accolades Mast'!A:A,A2,'Player Winning &amp; Accolades Mast'!S:S)*B23</f>
        <v>0</v>
      </c>
    </row>
    <row r="24">
      <c r="A24" s="87" t="s">
        <v>124</v>
      </c>
      <c r="B24" s="88" t="s">
        <v>125</v>
      </c>
      <c r="C24" s="89">
        <f t="shared" ref="C24:C25" si="1">IF(D24="Bucket 1",3,IF(D24 = "Bucket 2",1.5,0))</f>
        <v>0</v>
      </c>
      <c r="D24" s="90" t="str">
        <f>IF(SUMIF('Player Stats Master File'!AK:AK,A2,'Player Stats Master File'!AM:AM) &gt; 0.7,"Bucket 1",IF(SUMIF('Player Stats Master File'!AK:AK,A2,'Player Stats Master File'!AM:AM)&gt; 0.6,"Bucket 2","Bucket 3"))</f>
        <v>Bucket 3</v>
      </c>
    </row>
    <row r="25">
      <c r="A25" s="87" t="s">
        <v>126</v>
      </c>
      <c r="B25" s="88" t="s">
        <v>125</v>
      </c>
      <c r="C25" s="89">
        <f t="shared" si="1"/>
        <v>0</v>
      </c>
      <c r="D25" s="90" t="str">
        <f>IF(SUMIF('Player Stats Master File'!AK:AK,A2,'Player Stats Master File'!AN:AN) &gt; 0.6,"Bucket 1",IF(SUMIF('Player Stats Master File'!AK:AK,A2,'Player Stats Master File'!AN:AN)&gt; 0.55,"Bucket 2","Bucket 3"))</f>
        <v>Bucket 3</v>
      </c>
    </row>
    <row r="26">
      <c r="A26" s="86" t="s">
        <v>36</v>
      </c>
      <c r="B26" s="71" t="s">
        <v>127</v>
      </c>
      <c r="C26" s="83">
        <f>sumif('Player Winning &amp; Accolades Mast'!A:A,A2,'Player Winning &amp; Accolades Mast'!V:V)</f>
        <v>34</v>
      </c>
    </row>
  </sheetData>
  <mergeCells count="1">
    <mergeCell ref="A6:B6"/>
  </mergeCells>
  <dataValidations>
    <dataValidation type="list" allowBlank="1" showErrorMessage="1" sqref="A2">
      <formula1>'Player Stats Master File'!$AK$11:$AK$43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35.63"/>
    <col customWidth="1" min="3" max="3" width="5.88"/>
    <col customWidth="1" min="4" max="4" width="23.13"/>
    <col customWidth="1" min="5" max="5" width="20.13"/>
    <col customWidth="1" min="6" max="6" width="3.38"/>
    <col customWidth="1" min="7" max="7" width="16.88"/>
  </cols>
  <sheetData>
    <row r="1">
      <c r="D1" s="91" t="s">
        <v>128</v>
      </c>
      <c r="E1" s="92"/>
    </row>
    <row r="2">
      <c r="A2" s="8" t="s">
        <v>15</v>
      </c>
      <c r="B2" s="8" t="s">
        <v>129</v>
      </c>
      <c r="D2" s="8" t="s">
        <v>15</v>
      </c>
      <c r="E2" s="93" t="s">
        <v>129</v>
      </c>
      <c r="G2" s="94" t="s">
        <v>130</v>
      </c>
    </row>
    <row r="3">
      <c r="A3" s="95" t="s">
        <v>48</v>
      </c>
      <c r="B3" s="6">
        <v>128.48</v>
      </c>
      <c r="D3" s="96" t="s">
        <v>42</v>
      </c>
      <c r="E3" s="97">
        <v>250.28</v>
      </c>
      <c r="G3" s="94">
        <v>1.0</v>
      </c>
    </row>
    <row r="4">
      <c r="A4" s="98" t="s">
        <v>65</v>
      </c>
      <c r="B4" s="6">
        <v>200.35</v>
      </c>
      <c r="D4" s="96" t="s">
        <v>38</v>
      </c>
      <c r="E4" s="97">
        <v>233.04</v>
      </c>
      <c r="G4" s="94">
        <v>2.0</v>
      </c>
    </row>
    <row r="5">
      <c r="A5" s="98" t="s">
        <v>64</v>
      </c>
      <c r="B5" s="6">
        <v>131.93</v>
      </c>
      <c r="D5" s="96" t="s">
        <v>37</v>
      </c>
      <c r="E5" s="97">
        <v>226.39</v>
      </c>
      <c r="G5" s="99">
        <f t="shared" ref="G5:G34" si="1">G4+1</f>
        <v>3</v>
      </c>
    </row>
    <row r="6">
      <c r="A6" s="98" t="s">
        <v>58</v>
      </c>
      <c r="B6" s="6">
        <v>117.76</v>
      </c>
      <c r="D6" s="96" t="s">
        <v>65</v>
      </c>
      <c r="E6" s="97">
        <v>202.35</v>
      </c>
      <c r="G6" s="99">
        <f t="shared" si="1"/>
        <v>4</v>
      </c>
    </row>
    <row r="7">
      <c r="A7" s="98" t="s">
        <v>60</v>
      </c>
      <c r="B7" s="6">
        <v>139.32</v>
      </c>
      <c r="D7" s="96" t="s">
        <v>41</v>
      </c>
      <c r="E7" s="97">
        <v>200.04</v>
      </c>
      <c r="G7" s="99">
        <f t="shared" si="1"/>
        <v>5</v>
      </c>
    </row>
    <row r="8">
      <c r="A8" s="98" t="s">
        <v>43</v>
      </c>
      <c r="B8" s="6">
        <v>106.59</v>
      </c>
      <c r="D8" s="96" t="s">
        <v>40</v>
      </c>
      <c r="E8" s="97">
        <v>195.28</v>
      </c>
      <c r="G8" s="99">
        <f t="shared" si="1"/>
        <v>6</v>
      </c>
    </row>
    <row r="9">
      <c r="A9" s="98" t="s">
        <v>47</v>
      </c>
      <c r="B9" s="6">
        <v>94.08</v>
      </c>
      <c r="D9" s="96" t="s">
        <v>51</v>
      </c>
      <c r="E9" s="97">
        <v>192.82</v>
      </c>
      <c r="G9" s="99">
        <f t="shared" si="1"/>
        <v>7</v>
      </c>
    </row>
    <row r="10">
      <c r="A10" s="98" t="s">
        <v>56</v>
      </c>
      <c r="B10" s="6">
        <v>113.85</v>
      </c>
      <c r="D10" s="96" t="s">
        <v>63</v>
      </c>
      <c r="E10" s="97">
        <v>184.13</v>
      </c>
      <c r="G10" s="99">
        <f t="shared" si="1"/>
        <v>8</v>
      </c>
    </row>
    <row r="11">
      <c r="A11" s="98" t="s">
        <v>57</v>
      </c>
      <c r="B11" s="6">
        <v>118.92</v>
      </c>
      <c r="D11" s="96" t="s">
        <v>59</v>
      </c>
      <c r="E11" s="97">
        <v>179.22</v>
      </c>
      <c r="G11" s="99">
        <f t="shared" si="1"/>
        <v>9</v>
      </c>
    </row>
    <row r="12">
      <c r="A12" s="98" t="s">
        <v>49</v>
      </c>
      <c r="B12" s="6">
        <v>161.64</v>
      </c>
      <c r="D12" s="96" t="s">
        <v>46</v>
      </c>
      <c r="E12" s="97">
        <v>174.43</v>
      </c>
      <c r="G12" s="99">
        <f t="shared" si="1"/>
        <v>10</v>
      </c>
    </row>
    <row r="13">
      <c r="A13" s="98" t="s">
        <v>66</v>
      </c>
      <c r="B13" s="6">
        <v>105.41</v>
      </c>
      <c r="D13" s="98" t="s">
        <v>49</v>
      </c>
      <c r="E13" s="97">
        <v>158.64</v>
      </c>
      <c r="G13" s="99">
        <f t="shared" si="1"/>
        <v>11</v>
      </c>
    </row>
    <row r="14">
      <c r="A14" s="98" t="s">
        <v>62</v>
      </c>
      <c r="B14" s="6">
        <v>113.5</v>
      </c>
      <c r="D14" s="98" t="s">
        <v>55</v>
      </c>
      <c r="E14" s="97">
        <v>157.72</v>
      </c>
      <c r="G14" s="99">
        <f t="shared" si="1"/>
        <v>12</v>
      </c>
    </row>
    <row r="15">
      <c r="A15" s="98" t="s">
        <v>54</v>
      </c>
      <c r="B15" s="6">
        <v>148.84</v>
      </c>
      <c r="D15" s="98" t="s">
        <v>45</v>
      </c>
      <c r="E15" s="97">
        <v>152.18</v>
      </c>
      <c r="G15" s="99">
        <f t="shared" si="1"/>
        <v>13</v>
      </c>
    </row>
    <row r="16">
      <c r="A16" s="98" t="s">
        <v>52</v>
      </c>
      <c r="B16" s="6">
        <v>136.16</v>
      </c>
      <c r="D16" s="98" t="s">
        <v>54</v>
      </c>
      <c r="E16" s="97">
        <v>148.84</v>
      </c>
      <c r="G16" s="99">
        <f t="shared" si="1"/>
        <v>14</v>
      </c>
    </row>
    <row r="17">
      <c r="A17" s="98" t="s">
        <v>61</v>
      </c>
      <c r="B17" s="6">
        <v>98.29</v>
      </c>
      <c r="D17" s="98" t="s">
        <v>53</v>
      </c>
      <c r="E17" s="97">
        <v>147.69</v>
      </c>
      <c r="G17" s="99">
        <f t="shared" si="1"/>
        <v>15</v>
      </c>
    </row>
    <row r="18">
      <c r="A18" s="98" t="s">
        <v>45</v>
      </c>
      <c r="B18" s="6">
        <v>154.12</v>
      </c>
      <c r="D18" s="98" t="s">
        <v>60</v>
      </c>
      <c r="E18" s="97">
        <v>144.32</v>
      </c>
      <c r="G18" s="99">
        <f t="shared" si="1"/>
        <v>16</v>
      </c>
    </row>
    <row r="19">
      <c r="A19" s="98" t="s">
        <v>38</v>
      </c>
      <c r="B19" s="6">
        <v>225.54</v>
      </c>
      <c r="D19" s="98" t="s">
        <v>67</v>
      </c>
      <c r="E19" s="97">
        <v>143.31</v>
      </c>
      <c r="G19" s="99">
        <f t="shared" si="1"/>
        <v>17</v>
      </c>
    </row>
    <row r="20">
      <c r="A20" s="98" t="s">
        <v>39</v>
      </c>
      <c r="B20" s="6">
        <v>136.05</v>
      </c>
      <c r="D20" s="98" t="s">
        <v>52</v>
      </c>
      <c r="E20" s="97">
        <v>141.66</v>
      </c>
      <c r="G20" s="99">
        <f t="shared" si="1"/>
        <v>18</v>
      </c>
    </row>
    <row r="21">
      <c r="A21" s="98" t="s">
        <v>53</v>
      </c>
      <c r="B21" s="6">
        <v>147.69</v>
      </c>
      <c r="D21" s="98" t="s">
        <v>39</v>
      </c>
      <c r="E21" s="97">
        <v>141.55</v>
      </c>
      <c r="G21" s="99">
        <f t="shared" si="1"/>
        <v>19</v>
      </c>
    </row>
    <row r="22">
      <c r="A22" s="98" t="s">
        <v>41</v>
      </c>
      <c r="B22" s="6">
        <v>201.54</v>
      </c>
      <c r="D22" s="98" t="s">
        <v>64</v>
      </c>
      <c r="E22" s="97">
        <v>131.93</v>
      </c>
      <c r="G22" s="99">
        <f t="shared" si="1"/>
        <v>20</v>
      </c>
    </row>
    <row r="23">
      <c r="A23" s="98" t="s">
        <v>59</v>
      </c>
      <c r="B23" s="6">
        <v>179.22</v>
      </c>
      <c r="D23" s="98" t="s">
        <v>68</v>
      </c>
      <c r="E23" s="97">
        <v>130.35</v>
      </c>
      <c r="G23" s="99">
        <f t="shared" si="1"/>
        <v>21</v>
      </c>
    </row>
    <row r="24">
      <c r="A24" s="98" t="s">
        <v>37</v>
      </c>
      <c r="B24" s="6">
        <v>222.89</v>
      </c>
      <c r="D24" s="98" t="s">
        <v>50</v>
      </c>
      <c r="E24" s="97">
        <v>129.73</v>
      </c>
      <c r="G24" s="99">
        <f t="shared" si="1"/>
        <v>22</v>
      </c>
    </row>
    <row r="25">
      <c r="A25" s="98" t="s">
        <v>63</v>
      </c>
      <c r="B25" s="6">
        <v>184.13</v>
      </c>
      <c r="D25" s="95" t="s">
        <v>48</v>
      </c>
      <c r="E25" s="97">
        <v>129.48</v>
      </c>
      <c r="G25" s="99">
        <f t="shared" si="1"/>
        <v>23</v>
      </c>
    </row>
    <row r="26">
      <c r="A26" s="98" t="s">
        <v>42</v>
      </c>
      <c r="B26" s="6">
        <v>251.78</v>
      </c>
      <c r="D26" s="98" t="s">
        <v>58</v>
      </c>
      <c r="E26" s="97">
        <v>126.26</v>
      </c>
      <c r="G26" s="99">
        <f t="shared" si="1"/>
        <v>24</v>
      </c>
    </row>
    <row r="27">
      <c r="A27" s="98" t="s">
        <v>50</v>
      </c>
      <c r="B27" s="6">
        <v>128.23</v>
      </c>
      <c r="D27" s="98" t="s">
        <v>110</v>
      </c>
      <c r="E27" s="97">
        <v>125.7</v>
      </c>
      <c r="G27" s="99">
        <f t="shared" si="1"/>
        <v>25</v>
      </c>
    </row>
    <row r="28">
      <c r="A28" s="98" t="s">
        <v>46</v>
      </c>
      <c r="B28" s="6">
        <v>169.43</v>
      </c>
      <c r="D28" s="98" t="s">
        <v>57</v>
      </c>
      <c r="E28" s="97">
        <v>119.42</v>
      </c>
      <c r="G28" s="99">
        <f t="shared" si="1"/>
        <v>26</v>
      </c>
    </row>
    <row r="29">
      <c r="A29" s="98" t="s">
        <v>55</v>
      </c>
      <c r="B29" s="6">
        <v>159.22</v>
      </c>
      <c r="D29" s="98" t="s">
        <v>56</v>
      </c>
      <c r="E29" s="97">
        <v>119.35</v>
      </c>
      <c r="G29" s="99">
        <f t="shared" si="1"/>
        <v>27</v>
      </c>
    </row>
    <row r="30" ht="18.0" customHeight="1">
      <c r="A30" s="98" t="s">
        <v>51</v>
      </c>
      <c r="B30" s="6">
        <v>182.82</v>
      </c>
      <c r="D30" s="98" t="s">
        <v>62</v>
      </c>
      <c r="E30" s="97">
        <v>117.05</v>
      </c>
      <c r="G30" s="99">
        <f t="shared" si="1"/>
        <v>28</v>
      </c>
    </row>
    <row r="31" ht="18.75" customHeight="1">
      <c r="A31" s="98" t="s">
        <v>40</v>
      </c>
      <c r="D31" s="98" t="s">
        <v>43</v>
      </c>
      <c r="E31" s="97">
        <v>106.59</v>
      </c>
      <c r="G31" s="99">
        <f t="shared" si="1"/>
        <v>29</v>
      </c>
    </row>
    <row r="32" ht="18.75" customHeight="1">
      <c r="A32" s="98" t="s">
        <v>67</v>
      </c>
      <c r="B32" s="6">
        <v>146.31</v>
      </c>
      <c r="D32" s="98" t="s">
        <v>66</v>
      </c>
      <c r="E32" s="97">
        <v>105.41</v>
      </c>
      <c r="G32" s="99">
        <f t="shared" si="1"/>
        <v>30</v>
      </c>
    </row>
    <row r="33">
      <c r="A33" s="98" t="s">
        <v>110</v>
      </c>
      <c r="B33" s="6">
        <v>127.2</v>
      </c>
      <c r="D33" s="98" t="s">
        <v>61</v>
      </c>
      <c r="E33" s="97">
        <v>104.79</v>
      </c>
      <c r="G33" s="99">
        <f t="shared" si="1"/>
        <v>31</v>
      </c>
    </row>
    <row r="34">
      <c r="A34" s="98" t="s">
        <v>68</v>
      </c>
      <c r="B34" s="6">
        <v>133.35</v>
      </c>
      <c r="D34" s="98" t="s">
        <v>47</v>
      </c>
      <c r="E34" s="97">
        <v>95.08</v>
      </c>
      <c r="G34" s="99">
        <f t="shared" si="1"/>
        <v>32</v>
      </c>
    </row>
    <row r="35">
      <c r="A35" s="71" t="s">
        <v>40</v>
      </c>
      <c r="B35" s="6">
        <v>194.78</v>
      </c>
    </row>
  </sheetData>
  <autoFilter ref="$D$2:$E$34">
    <sortState ref="D2:E34">
      <sortCondition descending="1" ref="E2:E34"/>
    </sortState>
  </autoFilter>
  <mergeCells count="1">
    <mergeCell ref="D1:E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2025-08-06T01:25:13Z</dcterms:created>
  <dc:creator>Nate Richardson</dc:creator>
</cp:coreProperties>
</file>